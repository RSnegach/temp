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Contacts" sheetId="1" state="visible" r:id="rId1"/>
    <sheet xmlns:r="http://schemas.openxmlformats.org/officeDocument/2006/relationships" name="Telemetry Channels" sheetId="2" state="visible" r:id="rId2"/>
    <sheet xmlns:r="http://schemas.openxmlformats.org/officeDocument/2006/relationships" name="Maneuver Plan" sheetId="3" state="visible" r:id="rId3"/>
    <sheet xmlns:r="http://schemas.openxmlformats.org/officeDocument/2006/relationships" name="Orbit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FF000000"/>
      <sz val="10"/>
    </font>
    <font>
      <sz val="10"/>
    </font>
    <font>
      <b val="1"/>
      <sz val="10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2" fontId="3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5.5" customWidth="1" min="3" max="3"/>
    <col width="7" customWidth="1" min="4" max="4"/>
    <col width="8" customWidth="1" min="5" max="5"/>
    <col width="8" customWidth="1" min="6" max="6"/>
    <col width="9.5" customWidth="1" min="7" max="7"/>
    <col width="13.5" customWidth="1" min="8" max="8"/>
    <col width="40" customWidth="1" min="9" max="9"/>
    <col width="11" customWidth="1" min="10" max="10"/>
    <col width="42" customWidth="1" min="11" max="11"/>
    <col width="26" customWidth="1" min="13" max="13"/>
    <col width="9" customWidth="1" min="14" max="14"/>
    <col width="11" customWidth="1" min="15" max="15"/>
  </cols>
  <sheetData>
    <row r="1">
      <c r="A1" s="1" t="inlineStr">
        <is>
          <t>HTS-1 Ground Station Contact Schedule</t>
        </is>
      </c>
    </row>
    <row r="2">
      <c r="A2" s="2" t="inlineStr">
        <is>
          <t>Pass</t>
        </is>
      </c>
      <c r="B2" s="2" t="inlineStr">
        <is>
          <t>Date (UTC)</t>
        </is>
      </c>
      <c r="C2" s="2" t="inlineStr">
        <is>
          <t>Station</t>
        </is>
      </c>
      <c r="D2" s="2" t="inlineStr">
        <is>
          <t>Band</t>
        </is>
      </c>
      <c r="E2" s="2" t="inlineStr">
        <is>
          <t>AOS</t>
        </is>
      </c>
      <c r="F2" s="2" t="inlineStr">
        <is>
          <t>LOS</t>
        </is>
      </c>
      <c r="G2" s="2" t="inlineStr">
        <is>
          <t>Dur (min)</t>
        </is>
      </c>
      <c r="H2" s="2" t="inlineStr">
        <is>
          <t>Max elev (deg)</t>
        </is>
      </c>
      <c r="I2" s="2" t="inlineStr">
        <is>
          <t>Purpose</t>
        </is>
      </c>
      <c r="J2" s="2" t="inlineStr">
        <is>
          <t>Status</t>
        </is>
      </c>
      <c r="K2" s="2" t="inlineStr">
        <is>
          <t>Pass note</t>
        </is>
      </c>
      <c r="M2" s="2" t="inlineStr">
        <is>
          <t>Station</t>
        </is>
      </c>
      <c r="N2" s="2" t="inlineStr">
        <is>
          <t>Passes</t>
        </is>
      </c>
      <c r="O2" s="2" t="inlineStr">
        <is>
          <t>Total min</t>
        </is>
      </c>
    </row>
    <row r="3">
      <c r="A3" s="3" t="n">
        <v>101</v>
      </c>
      <c r="B3" s="3" t="inlineStr">
        <is>
          <t>2026-07-01</t>
        </is>
      </c>
      <c r="C3" s="4" t="inlineStr">
        <is>
          <t>Kourou</t>
        </is>
      </c>
      <c r="D3" s="3" t="inlineStr">
        <is>
          <t>S</t>
        </is>
      </c>
      <c r="E3" s="3" t="inlineStr">
        <is>
          <t>03:12</t>
        </is>
      </c>
      <c r="F3" s="3" t="inlineStr">
        <is>
          <t>03:46</t>
        </is>
      </c>
      <c r="G3" s="5" t="n">
        <v>34</v>
      </c>
      <c r="H3" s="5" t="n">
        <v>71</v>
      </c>
      <c r="I3" s="4" t="inlineStr">
        <is>
          <t>Post LV-sep state vector downlink</t>
        </is>
      </c>
      <c r="J3" s="3" t="inlineStr">
        <is>
          <t>Complete</t>
        </is>
      </c>
      <c r="K3" s="4" t="inlineStr"/>
      <c r="M3" s="6" t="inlineStr">
        <is>
          <t>Kourou</t>
        </is>
      </c>
      <c r="N3" s="6" t="n">
        <v>18</v>
      </c>
      <c r="O3" s="6">
        <f>SUMIF($C$3:$C$51,M3,$G$3:$G$51)</f>
        <v>577</v>
      </c>
    </row>
    <row r="4">
      <c r="A4" s="7" t="n">
        <v>102</v>
      </c>
      <c r="B4" s="7" t="inlineStr">
        <is>
          <t>2026-07-01</t>
        </is>
      </c>
      <c r="C4" s="8" t="inlineStr">
        <is>
          <t>Hartebeesthoek</t>
        </is>
      </c>
      <c r="D4" s="7" t="inlineStr">
        <is>
          <t>S</t>
        </is>
      </c>
      <c r="E4" s="7" t="inlineStr">
        <is>
          <t>09:48</t>
        </is>
      </c>
      <c r="F4" s="7" t="inlineStr">
        <is>
          <t>10:12</t>
        </is>
      </c>
      <c r="G4" s="9" t="n">
        <v>24</v>
      </c>
      <c r="H4" s="9" t="n">
        <v>52</v>
      </c>
      <c r="I4" s="8" t="inlineStr">
        <is>
          <t>Ranging + Doppler</t>
        </is>
      </c>
      <c r="J4" s="7" t="inlineStr">
        <is>
          <t>Complete</t>
        </is>
      </c>
      <c r="K4" s="8" t="inlineStr"/>
      <c r="M4" s="6" t="inlineStr">
        <is>
          <t>Hartebeesthoek</t>
        </is>
      </c>
      <c r="N4" s="6" t="n">
        <v>12</v>
      </c>
      <c r="O4" s="6">
        <f>SUMIF($C$3:$C$51,M4,$G$3:$G$51)</f>
        <v>319</v>
      </c>
    </row>
    <row r="5">
      <c r="A5" s="3" t="n">
        <v>103</v>
      </c>
      <c r="B5" s="3" t="inlineStr">
        <is>
          <t>2026-07-01</t>
        </is>
      </c>
      <c r="C5" s="4" t="inlineStr">
        <is>
          <t>Dongara</t>
        </is>
      </c>
      <c r="D5" s="3" t="inlineStr">
        <is>
          <t>S</t>
        </is>
      </c>
      <c r="E5" s="3" t="inlineStr">
        <is>
          <t>14:03</t>
        </is>
      </c>
      <c r="F5" s="3" t="inlineStr">
        <is>
          <t>14:12</t>
        </is>
      </c>
      <c r="G5" s="5" t="n">
        <v>9</v>
      </c>
      <c r="H5" s="5" t="n">
        <v>11</v>
      </c>
      <c r="I5" s="4" t="inlineStr">
        <is>
          <t>Health check</t>
        </is>
      </c>
      <c r="J5" s="3" t="inlineStr">
        <is>
          <t>Partial</t>
        </is>
      </c>
      <c r="K5" s="4" t="inlineStr">
        <is>
          <t>Horizon mask, lost lock at 3 deg</t>
        </is>
      </c>
      <c r="M5" s="6" t="inlineStr">
        <is>
          <t>Dongara</t>
        </is>
      </c>
      <c r="N5" s="6" t="n">
        <v>8</v>
      </c>
      <c r="O5" s="6">
        <f>SUMIF($C$3:$C$51,M5,$G$3:$G$51)</f>
        <v>161</v>
      </c>
    </row>
    <row r="6">
      <c r="A6" s="7" t="n">
        <v>104</v>
      </c>
      <c r="B6" s="7" t="inlineStr">
        <is>
          <t>2026-07-01</t>
        </is>
      </c>
      <c r="C6" s="8" t="inlineStr">
        <is>
          <t>Kourou</t>
        </is>
      </c>
      <c r="D6" s="7" t="inlineStr">
        <is>
          <t>X</t>
        </is>
      </c>
      <c r="E6" s="7" t="inlineStr">
        <is>
          <t>19:26</t>
        </is>
      </c>
      <c r="F6" s="7" t="inlineStr">
        <is>
          <t>19:59</t>
        </is>
      </c>
      <c r="G6" s="9" t="n">
        <v>33</v>
      </c>
      <c r="H6" s="9" t="n">
        <v>78</v>
      </c>
      <c r="I6" s="8" t="inlineStr">
        <is>
          <t>Recorder dump, LV-sep event data</t>
        </is>
      </c>
      <c r="J6" s="7" t="inlineStr">
        <is>
          <t>Complete</t>
        </is>
      </c>
      <c r="K6" s="8" t="inlineStr"/>
      <c r="M6" s="6" t="inlineStr">
        <is>
          <t>Svalbard</t>
        </is>
      </c>
      <c r="N6" s="6" t="n">
        <v>6</v>
      </c>
      <c r="O6" s="6">
        <f>SUMIF($C$3:$C$51,M6,$G$3:$G$51)</f>
        <v>97</v>
      </c>
    </row>
    <row r="7">
      <c r="A7" s="3" t="n">
        <v>105</v>
      </c>
      <c r="B7" s="3" t="inlineStr">
        <is>
          <t>2026-07-02</t>
        </is>
      </c>
      <c r="C7" s="4" t="inlineStr">
        <is>
          <t>Svalbard</t>
        </is>
      </c>
      <c r="D7" s="3" t="inlineStr">
        <is>
          <t>S</t>
        </is>
      </c>
      <c r="E7" s="3" t="inlineStr">
        <is>
          <t>01:55</t>
        </is>
      </c>
      <c r="F7" s="3" t="inlineStr">
        <is>
          <t>02:16</t>
        </is>
      </c>
      <c r="G7" s="5" t="n">
        <v>21</v>
      </c>
      <c r="H7" s="5" t="n">
        <v>34</v>
      </c>
      <c r="I7" s="4" t="inlineStr">
        <is>
          <t>Cmd upload, ADCS bias table</t>
        </is>
      </c>
      <c r="J7" s="3" t="inlineStr">
        <is>
          <t>Complete</t>
        </is>
      </c>
      <c r="K7" s="4" t="inlineStr"/>
      <c r="M7" s="6" t="inlineStr">
        <is>
          <t>Santiago</t>
        </is>
      </c>
      <c r="N7" s="6" t="n">
        <v>5</v>
      </c>
      <c r="O7" s="6">
        <f>SUMIF($C$3:$C$51,M7,$G$3:$G$51)</f>
        <v>64</v>
      </c>
    </row>
    <row r="8">
      <c r="A8" s="7" t="n">
        <v>106</v>
      </c>
      <c r="B8" s="7" t="inlineStr">
        <is>
          <t>2026-07-02</t>
        </is>
      </c>
      <c r="C8" s="8" t="inlineStr">
        <is>
          <t>Hartebeesthoek</t>
        </is>
      </c>
      <c r="D8" s="7" t="inlineStr">
        <is>
          <t>S</t>
        </is>
      </c>
      <c r="E8" s="7" t="inlineStr">
        <is>
          <t>08:31</t>
        </is>
      </c>
      <c r="F8" s="7" t="inlineStr">
        <is>
          <t>09:04</t>
        </is>
      </c>
      <c r="G8" s="9" t="n">
        <v>33</v>
      </c>
      <c r="H8" s="9" t="n">
        <v>63</v>
      </c>
      <c r="I8" s="8" t="inlineStr">
        <is>
          <t>Maneuver cal downlink</t>
        </is>
      </c>
      <c r="J8" s="7" t="inlineStr">
        <is>
          <t>Complete</t>
        </is>
      </c>
      <c r="K8" s="8" t="inlineStr"/>
      <c r="M8" s="10" t="inlineStr">
        <is>
          <t>Aperture total</t>
        </is>
      </c>
      <c r="N8" s="11" t="n"/>
      <c r="O8" s="10">
        <f>SUM(O3:O7)</f>
        <v>1218</v>
      </c>
    </row>
    <row r="9">
      <c r="A9" s="3" t="n">
        <v>107</v>
      </c>
      <c r="B9" s="3" t="inlineStr">
        <is>
          <t>2026-07-02</t>
        </is>
      </c>
      <c r="C9" s="4" t="inlineStr">
        <is>
          <t>Santiago</t>
        </is>
      </c>
      <c r="D9" s="3" t="inlineStr">
        <is>
          <t>S</t>
        </is>
      </c>
      <c r="E9" s="3" t="inlineStr">
        <is>
          <t>13:47</t>
        </is>
      </c>
      <c r="F9" s="3" t="inlineStr">
        <is>
          <t>13:59</t>
        </is>
      </c>
      <c r="G9" s="5" t="n">
        <v>12</v>
      </c>
      <c r="H9" s="5" t="n">
        <v>19</v>
      </c>
      <c r="I9" s="4" t="inlineStr">
        <is>
          <t>Health check</t>
        </is>
      </c>
      <c r="J9" s="3" t="inlineStr">
        <is>
          <t>Complete</t>
        </is>
      </c>
      <c r="K9" s="4" t="inlineStr"/>
    </row>
    <row r="10">
      <c r="A10" s="7" t="n">
        <v>108</v>
      </c>
      <c r="B10" s="7" t="inlineStr">
        <is>
          <t>2026-07-02</t>
        </is>
      </c>
      <c r="C10" s="8" t="inlineStr">
        <is>
          <t>Kourou</t>
        </is>
      </c>
      <c r="D10" s="7" t="inlineStr">
        <is>
          <t>S</t>
        </is>
      </c>
      <c r="E10" s="7" t="inlineStr">
        <is>
          <t>20:04</t>
        </is>
      </c>
      <c r="F10" s="7" t="inlineStr">
        <is>
          <t>20:41</t>
        </is>
      </c>
      <c r="G10" s="9" t="n">
        <v>37</v>
      </c>
      <c r="H10" s="9" t="n">
        <v>74</v>
      </c>
      <c r="I10" s="8" t="inlineStr">
        <is>
          <t>State vector downlink</t>
        </is>
      </c>
      <c r="J10" s="7" t="inlineStr">
        <is>
          <t>Complete</t>
        </is>
      </c>
      <c r="K10" s="8" t="inlineStr"/>
      <c r="M10" s="12" t="inlineStr">
        <is>
          <t>S-band passes</t>
        </is>
      </c>
      <c r="O10" s="12">
        <f>COUNTIF($D$3:$D$51,"S")</f>
        <v>43</v>
      </c>
    </row>
    <row r="11">
      <c r="A11" s="3" t="n">
        <v>109</v>
      </c>
      <c r="B11" s="3" t="inlineStr">
        <is>
          <t>2026-07-03</t>
        </is>
      </c>
      <c r="C11" s="4" t="inlineStr">
        <is>
          <t>Dongara</t>
        </is>
      </c>
      <c r="D11" s="3" t="inlineStr">
        <is>
          <t>S</t>
        </is>
      </c>
      <c r="E11" s="3" t="inlineStr">
        <is>
          <t>02:39</t>
        </is>
      </c>
      <c r="F11" s="3" t="inlineStr">
        <is>
          <t>03:01</t>
        </is>
      </c>
      <c r="G11" s="5" t="n">
        <v>22</v>
      </c>
      <c r="H11" s="5" t="n">
        <v>44</v>
      </c>
      <c r="I11" s="4" t="inlineStr">
        <is>
          <t>RWA momentum dump</t>
        </is>
      </c>
      <c r="J11" s="3" t="inlineStr">
        <is>
          <t>Complete</t>
        </is>
      </c>
      <c r="K11" s="4" t="inlineStr"/>
      <c r="M11" s="12" t="inlineStr">
        <is>
          <t>X-band passes</t>
        </is>
      </c>
      <c r="O11" s="12">
        <f>COUNTIF($D$3:$D$51,"X")</f>
        <v>6</v>
      </c>
    </row>
    <row r="12">
      <c r="A12" s="7" t="n">
        <v>110</v>
      </c>
      <c r="B12" s="7" t="inlineStr">
        <is>
          <t>2026-07-03</t>
        </is>
      </c>
      <c r="C12" s="8" t="inlineStr">
        <is>
          <t>Hartebeesthoek</t>
        </is>
      </c>
      <c r="D12" s="7" t="inlineStr">
        <is>
          <t>S</t>
        </is>
      </c>
      <c r="E12" s="7" t="inlineStr">
        <is>
          <t>09:11</t>
        </is>
      </c>
      <c r="F12" s="7" t="inlineStr">
        <is>
          <t>09:40</t>
        </is>
      </c>
      <c r="G12" s="9" t="n">
        <v>29</v>
      </c>
      <c r="H12" s="9" t="n">
        <v>58</v>
      </c>
      <c r="I12" s="8" t="inlineStr">
        <is>
          <t>Ranging</t>
        </is>
      </c>
      <c r="J12" s="7" t="inlineStr">
        <is>
          <t>Complete</t>
        </is>
      </c>
      <c r="K12" s="8" t="inlineStr"/>
      <c r="M12" s="12" t="inlineStr">
        <is>
          <t>Passes not fully supported</t>
        </is>
      </c>
      <c r="O12" s="12">
        <f>COUNTIF($J$3:$J$51,"Partial")+COUNTIF($J$3:$J$51,"Scrubbed")</f>
        <v>3</v>
      </c>
    </row>
    <row r="13">
      <c r="A13" s="3" t="n">
        <v>111</v>
      </c>
      <c r="B13" s="3" t="inlineStr">
        <is>
          <t>2026-07-03</t>
        </is>
      </c>
      <c r="C13" s="4" t="inlineStr">
        <is>
          <t>Kourou</t>
        </is>
      </c>
      <c r="D13" s="3" t="inlineStr">
        <is>
          <t>X</t>
        </is>
      </c>
      <c r="E13" s="3" t="inlineStr">
        <is>
          <t>18:52</t>
        </is>
      </c>
      <c r="F13" s="3" t="inlineStr">
        <is>
          <t>19:23</t>
        </is>
      </c>
      <c r="G13" s="5" t="n">
        <v>31</v>
      </c>
      <c r="H13" s="5" t="n">
        <v>76</v>
      </c>
      <c r="I13" s="4" t="inlineStr">
        <is>
          <t>Payload bus checkout</t>
        </is>
      </c>
      <c r="J13" s="3" t="inlineStr">
        <is>
          <t>Complete</t>
        </is>
      </c>
      <c r="K13" s="4" t="inlineStr"/>
    </row>
    <row r="14">
      <c r="A14" s="7" t="n">
        <v>112</v>
      </c>
      <c r="B14" s="7" t="inlineStr">
        <is>
          <t>2026-07-04</t>
        </is>
      </c>
      <c r="C14" s="8" t="inlineStr">
        <is>
          <t>Svalbard</t>
        </is>
      </c>
      <c r="D14" s="7" t="inlineStr">
        <is>
          <t>S</t>
        </is>
      </c>
      <c r="E14" s="7" t="inlineStr">
        <is>
          <t>01:18</t>
        </is>
      </c>
      <c r="F14" s="7" t="inlineStr">
        <is>
          <t>01:34</t>
        </is>
      </c>
      <c r="G14" s="9" t="n">
        <v>16</v>
      </c>
      <c r="H14" s="9" t="n">
        <v>28</v>
      </c>
      <c r="I14" s="8" t="inlineStr">
        <is>
          <t>Health check</t>
        </is>
      </c>
      <c r="J14" s="7" t="inlineStr">
        <is>
          <t>Complete</t>
        </is>
      </c>
      <c r="K14" s="8" t="inlineStr"/>
    </row>
    <row r="15">
      <c r="A15" s="3" t="n">
        <v>113</v>
      </c>
      <c r="B15" s="3" t="inlineStr">
        <is>
          <t>2026-07-04</t>
        </is>
      </c>
      <c r="C15" s="4" t="inlineStr">
        <is>
          <t>Kourou</t>
        </is>
      </c>
      <c r="D15" s="3" t="inlineStr">
        <is>
          <t>S</t>
        </is>
      </c>
      <c r="E15" s="3" t="inlineStr">
        <is>
          <t>07:44</t>
        </is>
      </c>
      <c r="F15" s="3" t="inlineStr">
        <is>
          <t>08:14</t>
        </is>
      </c>
      <c r="G15" s="5" t="n">
        <v>30</v>
      </c>
      <c r="H15" s="5" t="n">
        <v>68</v>
      </c>
      <c r="I15" s="4" t="inlineStr">
        <is>
          <t>Maneuver cal downlink</t>
        </is>
      </c>
      <c r="J15" s="3" t="inlineStr">
        <is>
          <t>Complete</t>
        </is>
      </c>
      <c r="K15" s="4" t="inlineStr"/>
    </row>
    <row r="16">
      <c r="A16" s="7" t="n">
        <v>114</v>
      </c>
      <c r="B16" s="7" t="inlineStr">
        <is>
          <t>2026-07-04</t>
        </is>
      </c>
      <c r="C16" s="8" t="inlineStr">
        <is>
          <t>Kourou</t>
        </is>
      </c>
      <c r="D16" s="7" t="inlineStr">
        <is>
          <t>S</t>
        </is>
      </c>
      <c r="E16" s="7" t="inlineStr">
        <is>
          <t>12:06</t>
        </is>
      </c>
      <c r="F16" s="7" t="inlineStr">
        <is>
          <t>12:06</t>
        </is>
      </c>
      <c r="G16" s="9" t="n">
        <v>0</v>
      </c>
      <c r="H16" s="9" t="n">
        <v>22</v>
      </c>
      <c r="I16" s="8" t="inlineStr">
        <is>
          <t>Ranging</t>
        </is>
      </c>
      <c r="J16" s="7" t="inlineStr">
        <is>
          <t>Scrubbed</t>
        </is>
      </c>
      <c r="K16" s="8" t="inlineStr">
        <is>
          <t>No AOS, station conflict with GSAT-19</t>
        </is>
      </c>
    </row>
    <row r="17">
      <c r="A17" s="3" t="n">
        <v>115</v>
      </c>
      <c r="B17" s="3" t="inlineStr">
        <is>
          <t>2026-07-04</t>
        </is>
      </c>
      <c r="C17" s="4" t="inlineStr">
        <is>
          <t>Hartebeesthoek</t>
        </is>
      </c>
      <c r="D17" s="3" t="inlineStr">
        <is>
          <t>S</t>
        </is>
      </c>
      <c r="E17" s="3" t="inlineStr">
        <is>
          <t>17:35</t>
        </is>
      </c>
      <c r="F17" s="3" t="inlineStr">
        <is>
          <t>18:01</t>
        </is>
      </c>
      <c r="G17" s="5" t="n">
        <v>26</v>
      </c>
      <c r="H17" s="5" t="n">
        <v>49</v>
      </c>
      <c r="I17" s="4" t="inlineStr">
        <is>
          <t>State vector downlink</t>
        </is>
      </c>
      <c r="J17" s="3" t="inlineStr">
        <is>
          <t>Complete</t>
        </is>
      </c>
      <c r="K17" s="4" t="inlineStr"/>
    </row>
    <row r="18">
      <c r="A18" s="7" t="n">
        <v>116</v>
      </c>
      <c r="B18" s="7" t="inlineStr">
        <is>
          <t>2026-07-05</t>
        </is>
      </c>
      <c r="C18" s="8" t="inlineStr">
        <is>
          <t>Dongara</t>
        </is>
      </c>
      <c r="D18" s="7" t="inlineStr">
        <is>
          <t>S</t>
        </is>
      </c>
      <c r="E18" s="7" t="inlineStr">
        <is>
          <t>00:52</t>
        </is>
      </c>
      <c r="F18" s="7" t="inlineStr">
        <is>
          <t>01:09</t>
        </is>
      </c>
      <c r="G18" s="9" t="n">
        <v>17</v>
      </c>
      <c r="H18" s="9" t="n">
        <v>38</v>
      </c>
      <c r="I18" s="8" t="inlineStr">
        <is>
          <t>Cmd upload</t>
        </is>
      </c>
      <c r="J18" s="7" t="inlineStr">
        <is>
          <t>Complete</t>
        </is>
      </c>
      <c r="K18" s="8" t="inlineStr"/>
    </row>
    <row r="19">
      <c r="A19" s="3" t="n">
        <v>117</v>
      </c>
      <c r="B19" s="3" t="inlineStr">
        <is>
          <t>2026-07-05</t>
        </is>
      </c>
      <c r="C19" s="4" t="inlineStr">
        <is>
          <t>Kourou</t>
        </is>
      </c>
      <c r="D19" s="3" t="inlineStr">
        <is>
          <t>S</t>
        </is>
      </c>
      <c r="E19" s="3" t="inlineStr">
        <is>
          <t>06:29</t>
        </is>
      </c>
      <c r="F19" s="3" t="inlineStr">
        <is>
          <t>07:08</t>
        </is>
      </c>
      <c r="G19" s="5" t="n">
        <v>39</v>
      </c>
      <c r="H19" s="5" t="n">
        <v>73</v>
      </c>
      <c r="I19" s="4" t="inlineStr">
        <is>
          <t>Apogee burn readiness review data</t>
        </is>
      </c>
      <c r="J19" s="3" t="inlineStr">
        <is>
          <t>Complete</t>
        </is>
      </c>
      <c r="K19" s="4" t="inlineStr"/>
    </row>
    <row r="20">
      <c r="A20" s="7" t="n">
        <v>118</v>
      </c>
      <c r="B20" s="7" t="inlineStr">
        <is>
          <t>2026-07-05</t>
        </is>
      </c>
      <c r="C20" s="8" t="inlineStr">
        <is>
          <t>Santiago</t>
        </is>
      </c>
      <c r="D20" s="7" t="inlineStr">
        <is>
          <t>S</t>
        </is>
      </c>
      <c r="E20" s="7" t="inlineStr">
        <is>
          <t>11:58</t>
        </is>
      </c>
      <c r="F20" s="7" t="inlineStr">
        <is>
          <t>12:14</t>
        </is>
      </c>
      <c r="G20" s="9" t="n">
        <v>16</v>
      </c>
      <c r="H20" s="9" t="n">
        <v>23</v>
      </c>
      <c r="I20" s="8" t="inlineStr">
        <is>
          <t>Health check</t>
        </is>
      </c>
      <c r="J20" s="7" t="inlineStr">
        <is>
          <t>Complete</t>
        </is>
      </c>
      <c r="K20" s="8" t="inlineStr"/>
    </row>
    <row r="21">
      <c r="A21" s="3" t="n">
        <v>119</v>
      </c>
      <c r="B21" s="3" t="inlineStr">
        <is>
          <t>2026-07-05</t>
        </is>
      </c>
      <c r="C21" s="4" t="inlineStr">
        <is>
          <t>Hartebeesthoek</t>
        </is>
      </c>
      <c r="D21" s="3" t="inlineStr">
        <is>
          <t>X</t>
        </is>
      </c>
      <c r="E21" s="3" t="inlineStr">
        <is>
          <t>16:41</t>
        </is>
      </c>
      <c r="F21" s="3" t="inlineStr">
        <is>
          <t>17:11</t>
        </is>
      </c>
      <c r="G21" s="5" t="n">
        <v>30</v>
      </c>
      <c r="H21" s="5" t="n">
        <v>75</v>
      </c>
      <c r="I21" s="4" t="inlineStr">
        <is>
          <t>Recorder dump</t>
        </is>
      </c>
      <c r="J21" s="3" t="inlineStr">
        <is>
          <t>Complete</t>
        </is>
      </c>
      <c r="K21" s="4" t="inlineStr"/>
    </row>
    <row r="22">
      <c r="A22" s="7" t="n">
        <v>120</v>
      </c>
      <c r="B22" s="7" t="inlineStr">
        <is>
          <t>2026-07-06</t>
        </is>
      </c>
      <c r="C22" s="8" t="inlineStr">
        <is>
          <t>Svalbard</t>
        </is>
      </c>
      <c r="D22" s="7" t="inlineStr">
        <is>
          <t>S</t>
        </is>
      </c>
      <c r="E22" s="7" t="inlineStr">
        <is>
          <t>00:07</t>
        </is>
      </c>
      <c r="F22" s="7" t="inlineStr">
        <is>
          <t>00:26</t>
        </is>
      </c>
      <c r="G22" s="9" t="n">
        <v>19</v>
      </c>
      <c r="H22" s="9" t="n">
        <v>31</v>
      </c>
      <c r="I22" s="8" t="inlineStr">
        <is>
          <t>Ranging</t>
        </is>
      </c>
      <c r="J22" s="7" t="inlineStr">
        <is>
          <t>Complete</t>
        </is>
      </c>
      <c r="K22" s="8" t="inlineStr"/>
    </row>
    <row r="23">
      <c r="A23" s="3" t="n">
        <v>121</v>
      </c>
      <c r="B23" s="3" t="inlineStr">
        <is>
          <t>2026-07-06</t>
        </is>
      </c>
      <c r="C23" s="4" t="inlineStr">
        <is>
          <t>Kourou</t>
        </is>
      </c>
      <c r="D23" s="3" t="inlineStr">
        <is>
          <t>S</t>
        </is>
      </c>
      <c r="E23" s="3" t="inlineStr">
        <is>
          <t>05:33</t>
        </is>
      </c>
      <c r="F23" s="3" t="inlineStr">
        <is>
          <t>06:11</t>
        </is>
      </c>
      <c r="G23" s="5" t="n">
        <v>38</v>
      </c>
      <c r="H23" s="5" t="n">
        <v>70</v>
      </c>
      <c r="I23" s="4" t="inlineStr">
        <is>
          <t>State vector downlink</t>
        </is>
      </c>
      <c r="J23" s="3" t="inlineStr">
        <is>
          <t>Complete</t>
        </is>
      </c>
      <c r="K23" s="4" t="inlineStr"/>
    </row>
    <row r="24">
      <c r="A24" s="7" t="n">
        <v>122</v>
      </c>
      <c r="B24" s="7" t="inlineStr">
        <is>
          <t>2026-07-06</t>
        </is>
      </c>
      <c r="C24" s="8" t="inlineStr">
        <is>
          <t>Dongara</t>
        </is>
      </c>
      <c r="D24" s="7" t="inlineStr">
        <is>
          <t>S</t>
        </is>
      </c>
      <c r="E24" s="7" t="inlineStr">
        <is>
          <t>10:49</t>
        </is>
      </c>
      <c r="F24" s="7" t="inlineStr">
        <is>
          <t>11:09</t>
        </is>
      </c>
      <c r="G24" s="9" t="n">
        <v>20</v>
      </c>
      <c r="H24" s="9" t="n">
        <v>45</v>
      </c>
      <c r="I24" s="8" t="inlineStr">
        <is>
          <t>RWA momentum dump</t>
        </is>
      </c>
      <c r="J24" s="7" t="inlineStr">
        <is>
          <t>Complete</t>
        </is>
      </c>
      <c r="K24" s="8" t="inlineStr"/>
    </row>
    <row r="25">
      <c r="A25" s="3" t="n">
        <v>123</v>
      </c>
      <c r="B25" s="3" t="inlineStr">
        <is>
          <t>2026-07-06</t>
        </is>
      </c>
      <c r="C25" s="4" t="inlineStr">
        <is>
          <t>Hartebeesthoek</t>
        </is>
      </c>
      <c r="D25" s="3" t="inlineStr">
        <is>
          <t>S</t>
        </is>
      </c>
      <c r="E25" s="3" t="inlineStr">
        <is>
          <t>15:20</t>
        </is>
      </c>
      <c r="F25" s="3" t="inlineStr">
        <is>
          <t>15:45</t>
        </is>
      </c>
      <c r="G25" s="5" t="n">
        <v>25</v>
      </c>
      <c r="H25" s="5" t="n">
        <v>55</v>
      </c>
      <c r="I25" s="4" t="inlineStr">
        <is>
          <t>Maneuver cal downlink</t>
        </is>
      </c>
      <c r="J25" s="3" t="inlineStr">
        <is>
          <t>Complete</t>
        </is>
      </c>
      <c r="K25" s="4" t="inlineStr"/>
    </row>
    <row r="26">
      <c r="A26" s="7" t="n">
        <v>124</v>
      </c>
      <c r="B26" s="7" t="inlineStr">
        <is>
          <t>2026-07-06</t>
        </is>
      </c>
      <c r="C26" s="8" t="inlineStr">
        <is>
          <t>Kourou</t>
        </is>
      </c>
      <c r="D26" s="7" t="inlineStr">
        <is>
          <t>S</t>
        </is>
      </c>
      <c r="E26" s="7" t="inlineStr">
        <is>
          <t>21:02</t>
        </is>
      </c>
      <c r="F26" s="7" t="inlineStr">
        <is>
          <t>21:33</t>
        </is>
      </c>
      <c r="G26" s="9" t="n">
        <v>31</v>
      </c>
      <c r="H26" s="9" t="n">
        <v>64</v>
      </c>
      <c r="I26" s="8" t="inlineStr">
        <is>
          <t>Cmd upload, burn timeline load</t>
        </is>
      </c>
      <c r="J26" s="7" t="inlineStr">
        <is>
          <t>Complete</t>
        </is>
      </c>
      <c r="K26" s="8" t="inlineStr"/>
    </row>
    <row r="27">
      <c r="A27" s="3" t="n">
        <v>125</v>
      </c>
      <c r="B27" s="3" t="inlineStr">
        <is>
          <t>2026-07-07</t>
        </is>
      </c>
      <c r="C27" s="4" t="inlineStr">
        <is>
          <t>Santiago</t>
        </is>
      </c>
      <c r="D27" s="3" t="inlineStr">
        <is>
          <t>S</t>
        </is>
      </c>
      <c r="E27" s="3" t="inlineStr">
        <is>
          <t>04:16</t>
        </is>
      </c>
      <c r="F27" s="3" t="inlineStr">
        <is>
          <t>04:27</t>
        </is>
      </c>
      <c r="G27" s="5" t="n">
        <v>11</v>
      </c>
      <c r="H27" s="5" t="n">
        <v>17</v>
      </c>
      <c r="I27" s="4" t="inlineStr">
        <is>
          <t>Health check</t>
        </is>
      </c>
      <c r="J27" s="3" t="inlineStr">
        <is>
          <t>Complete</t>
        </is>
      </c>
      <c r="K27" s="4" t="inlineStr"/>
    </row>
    <row r="28">
      <c r="A28" s="7" t="n">
        <v>126</v>
      </c>
      <c r="B28" s="7" t="inlineStr">
        <is>
          <t>2026-07-07</t>
        </is>
      </c>
      <c r="C28" s="8" t="inlineStr">
        <is>
          <t>Kourou</t>
        </is>
      </c>
      <c r="D28" s="7" t="inlineStr">
        <is>
          <t>S</t>
        </is>
      </c>
      <c r="E28" s="7" t="inlineStr">
        <is>
          <t>09:38</t>
        </is>
      </c>
      <c r="F28" s="7" t="inlineStr">
        <is>
          <t>10:22</t>
        </is>
      </c>
      <c r="G28" s="9" t="n">
        <v>44</v>
      </c>
      <c r="H28" s="9" t="n">
        <v>81</v>
      </c>
      <c r="I28" s="8" t="inlineStr">
        <is>
          <t>Apogee insertion, pre-burn quiescent</t>
        </is>
      </c>
      <c r="J28" s="7" t="inlineStr">
        <is>
          <t>Complete</t>
        </is>
      </c>
      <c r="K28" s="8" t="inlineStr">
        <is>
          <t>Extended pass, requested by GN&amp;C</t>
        </is>
      </c>
    </row>
    <row r="29">
      <c r="A29" s="3" t="n">
        <v>127</v>
      </c>
      <c r="B29" s="3" t="inlineStr">
        <is>
          <t>2026-07-07</t>
        </is>
      </c>
      <c r="C29" s="4" t="inlineStr">
        <is>
          <t>Kourou</t>
        </is>
      </c>
      <c r="D29" s="3" t="inlineStr">
        <is>
          <t>X</t>
        </is>
      </c>
      <c r="E29" s="3" t="inlineStr">
        <is>
          <t>10:22</t>
        </is>
      </c>
      <c r="F29" s="3" t="inlineStr">
        <is>
          <t>11:06</t>
        </is>
      </c>
      <c r="G29" s="5" t="n">
        <v>44</v>
      </c>
      <c r="H29" s="5" t="n">
        <v>84</v>
      </c>
      <c r="I29" s="4" t="inlineStr">
        <is>
          <t>Apogee insertion, burn coverage</t>
        </is>
      </c>
      <c r="J29" s="3" t="inlineStr">
        <is>
          <t>Complete</t>
        </is>
      </c>
      <c r="K29" s="4" t="inlineStr">
        <is>
          <t>Continuous coverage through burn</t>
        </is>
      </c>
    </row>
    <row r="30">
      <c r="A30" s="7" t="n">
        <v>128</v>
      </c>
      <c r="B30" s="7" t="inlineStr">
        <is>
          <t>2026-07-07</t>
        </is>
      </c>
      <c r="C30" s="8" t="inlineStr">
        <is>
          <t>Hartebeesthoek</t>
        </is>
      </c>
      <c r="D30" s="7" t="inlineStr">
        <is>
          <t>X</t>
        </is>
      </c>
      <c r="E30" s="7" t="inlineStr">
        <is>
          <t>11:14</t>
        </is>
      </c>
      <c r="F30" s="7" t="inlineStr">
        <is>
          <t>11:50</t>
        </is>
      </c>
      <c r="G30" s="9" t="n">
        <v>36</v>
      </c>
      <c r="H30" s="9" t="n">
        <v>79</v>
      </c>
      <c r="I30" s="8" t="inlineStr">
        <is>
          <t>Apogee insertion, post-burn dump</t>
        </is>
      </c>
      <c r="J30" s="7" t="inlineStr">
        <is>
          <t>Complete</t>
        </is>
      </c>
      <c r="K30" s="8" t="inlineStr"/>
    </row>
    <row r="31">
      <c r="A31" s="3" t="n">
        <v>129</v>
      </c>
      <c r="B31" s="3" t="inlineStr">
        <is>
          <t>2026-07-07</t>
        </is>
      </c>
      <c r="C31" s="4" t="inlineStr">
        <is>
          <t>Dongara</t>
        </is>
      </c>
      <c r="D31" s="3" t="inlineStr">
        <is>
          <t>S</t>
        </is>
      </c>
      <c r="E31" s="3" t="inlineStr">
        <is>
          <t>16:47</t>
        </is>
      </c>
      <c r="F31" s="3" t="inlineStr">
        <is>
          <t>17:11</t>
        </is>
      </c>
      <c r="G31" s="5" t="n">
        <v>24</v>
      </c>
      <c r="H31" s="5" t="n">
        <v>41</v>
      </c>
      <c r="I31" s="4" t="inlineStr">
        <is>
          <t>Post-burn state vector</t>
        </is>
      </c>
      <c r="J31" s="3" t="inlineStr">
        <is>
          <t>Complete</t>
        </is>
      </c>
      <c r="K31" s="4" t="inlineStr"/>
    </row>
    <row r="32">
      <c r="A32" s="7" t="n">
        <v>130</v>
      </c>
      <c r="B32" s="7" t="inlineStr">
        <is>
          <t>2026-07-07</t>
        </is>
      </c>
      <c r="C32" s="8" t="inlineStr">
        <is>
          <t>Svalbard</t>
        </is>
      </c>
      <c r="D32" s="7" t="inlineStr">
        <is>
          <t>S</t>
        </is>
      </c>
      <c r="E32" s="7" t="inlineStr">
        <is>
          <t>22:03</t>
        </is>
      </c>
      <c r="F32" s="7" t="inlineStr">
        <is>
          <t>22:18</t>
        </is>
      </c>
      <c r="G32" s="9" t="n">
        <v>15</v>
      </c>
      <c r="H32" s="9" t="n">
        <v>26</v>
      </c>
      <c r="I32" s="8" t="inlineStr">
        <is>
          <t>Health check</t>
        </is>
      </c>
      <c r="J32" s="7" t="inlineStr">
        <is>
          <t>Complete</t>
        </is>
      </c>
      <c r="K32" s="8" t="inlineStr"/>
    </row>
    <row r="33">
      <c r="A33" s="3" t="n">
        <v>131</v>
      </c>
      <c r="B33" s="3" t="inlineStr">
        <is>
          <t>2026-07-08</t>
        </is>
      </c>
      <c r="C33" s="4" t="inlineStr">
        <is>
          <t>Kourou</t>
        </is>
      </c>
      <c r="D33" s="3" t="inlineStr">
        <is>
          <t>S</t>
        </is>
      </c>
      <c r="E33" s="3" t="inlineStr">
        <is>
          <t>03:31</t>
        </is>
      </c>
      <c r="F33" s="3" t="inlineStr">
        <is>
          <t>04:00</t>
        </is>
      </c>
      <c r="G33" s="5" t="n">
        <v>29</v>
      </c>
      <c r="H33" s="5" t="n">
        <v>66</v>
      </c>
      <c r="I33" s="4" t="inlineStr">
        <is>
          <t>Payload separation coverage</t>
        </is>
      </c>
      <c r="J33" s="3" t="inlineStr">
        <is>
          <t>Complete</t>
        </is>
      </c>
      <c r="K33" s="4" t="inlineStr"/>
    </row>
    <row r="34">
      <c r="A34" s="7" t="n">
        <v>132</v>
      </c>
      <c r="B34" s="7" t="inlineStr">
        <is>
          <t>2026-07-08</t>
        </is>
      </c>
      <c r="C34" s="8" t="inlineStr">
        <is>
          <t>Hartebeesthoek</t>
        </is>
      </c>
      <c r="D34" s="7" t="inlineStr">
        <is>
          <t>S</t>
        </is>
      </c>
      <c r="E34" s="7" t="inlineStr">
        <is>
          <t>08:56</t>
        </is>
      </c>
      <c r="F34" s="7" t="inlineStr">
        <is>
          <t>09:18</t>
        </is>
      </c>
      <c r="G34" s="9" t="n">
        <v>22</v>
      </c>
      <c r="H34" s="9" t="n">
        <v>48</v>
      </c>
      <c r="I34" s="8" t="inlineStr">
        <is>
          <t>Post-sep attitude recovery</t>
        </is>
      </c>
      <c r="J34" s="7" t="inlineStr">
        <is>
          <t>Complete</t>
        </is>
      </c>
      <c r="K34" s="8" t="inlineStr"/>
    </row>
    <row r="35">
      <c r="A35" s="3" t="n">
        <v>133</v>
      </c>
      <c r="B35" s="3" t="inlineStr">
        <is>
          <t>2026-07-08</t>
        </is>
      </c>
      <c r="C35" s="4" t="inlineStr">
        <is>
          <t>Santiago</t>
        </is>
      </c>
      <c r="D35" s="3" t="inlineStr">
        <is>
          <t>S</t>
        </is>
      </c>
      <c r="E35" s="3" t="inlineStr">
        <is>
          <t>14:12</t>
        </is>
      </c>
      <c r="F35" s="3" t="inlineStr">
        <is>
          <t>14:25</t>
        </is>
      </c>
      <c r="G35" s="5" t="n">
        <v>13</v>
      </c>
      <c r="H35" s="5" t="n">
        <v>21</v>
      </c>
      <c r="I35" s="4" t="inlineStr">
        <is>
          <t>Ranging</t>
        </is>
      </c>
      <c r="J35" s="3" t="inlineStr">
        <is>
          <t>Complete</t>
        </is>
      </c>
      <c r="K35" s="4" t="inlineStr"/>
    </row>
    <row r="36">
      <c r="A36" s="7" t="n">
        <v>134</v>
      </c>
      <c r="B36" s="7" t="inlineStr">
        <is>
          <t>2026-07-08</t>
        </is>
      </c>
      <c r="C36" s="8" t="inlineStr">
        <is>
          <t>Kourou</t>
        </is>
      </c>
      <c r="D36" s="7" t="inlineStr">
        <is>
          <t>S</t>
        </is>
      </c>
      <c r="E36" s="7" t="inlineStr">
        <is>
          <t>19:44</t>
        </is>
      </c>
      <c r="F36" s="7" t="inlineStr">
        <is>
          <t>20:17</t>
        </is>
      </c>
      <c r="G36" s="9" t="n">
        <v>33</v>
      </c>
      <c r="H36" s="9" t="n">
        <v>61</v>
      </c>
      <c r="I36" s="8" t="inlineStr">
        <is>
          <t>Orbit determination pass 1 of 3</t>
        </is>
      </c>
      <c r="J36" s="7" t="inlineStr">
        <is>
          <t>Complete</t>
        </is>
      </c>
      <c r="K36" s="8" t="inlineStr"/>
    </row>
    <row r="37">
      <c r="A37" s="3" t="n">
        <v>135</v>
      </c>
      <c r="B37" s="3" t="inlineStr">
        <is>
          <t>2026-07-09</t>
        </is>
      </c>
      <c r="C37" s="4" t="inlineStr">
        <is>
          <t>Dongara</t>
        </is>
      </c>
      <c r="D37" s="3" t="inlineStr">
        <is>
          <t>S</t>
        </is>
      </c>
      <c r="E37" s="3" t="inlineStr">
        <is>
          <t>02:18</t>
        </is>
      </c>
      <c r="F37" s="3" t="inlineStr">
        <is>
          <t>02:43</t>
        </is>
      </c>
      <c r="G37" s="5" t="n">
        <v>25</v>
      </c>
      <c r="H37" s="5" t="n">
        <v>36</v>
      </c>
      <c r="I37" s="4" t="inlineStr">
        <is>
          <t>Orbit determination pass 2 of 3</t>
        </is>
      </c>
      <c r="J37" s="3" t="inlineStr">
        <is>
          <t>Complete</t>
        </is>
      </c>
      <c r="K37" s="4" t="inlineStr"/>
    </row>
    <row r="38">
      <c r="A38" s="7" t="n">
        <v>136</v>
      </c>
      <c r="B38" s="7" t="inlineStr">
        <is>
          <t>2026-07-09</t>
        </is>
      </c>
      <c r="C38" s="8" t="inlineStr">
        <is>
          <t>Hartebeesthoek</t>
        </is>
      </c>
      <c r="D38" s="7" t="inlineStr">
        <is>
          <t>S</t>
        </is>
      </c>
      <c r="E38" s="7" t="inlineStr">
        <is>
          <t>07:51</t>
        </is>
      </c>
      <c r="F38" s="7" t="inlineStr">
        <is>
          <t>08:15</t>
        </is>
      </c>
      <c r="G38" s="9" t="n">
        <v>24</v>
      </c>
      <c r="H38" s="9" t="n">
        <v>53</v>
      </c>
      <c r="I38" s="8" t="inlineStr">
        <is>
          <t>Orbit determination pass 3 of 3</t>
        </is>
      </c>
      <c r="J38" s="7" t="inlineStr">
        <is>
          <t>Complete</t>
        </is>
      </c>
      <c r="K38" s="8" t="inlineStr"/>
    </row>
    <row r="39">
      <c r="A39" s="3" t="n">
        <v>137</v>
      </c>
      <c r="B39" s="3" t="inlineStr">
        <is>
          <t>2026-07-09</t>
        </is>
      </c>
      <c r="C39" s="4" t="inlineStr">
        <is>
          <t>Kourou</t>
        </is>
      </c>
      <c r="D39" s="3" t="inlineStr">
        <is>
          <t>S</t>
        </is>
      </c>
      <c r="E39" s="3" t="inlineStr">
        <is>
          <t>13:27</t>
        </is>
      </c>
      <c r="F39" s="3" t="inlineStr">
        <is>
          <t>13:53</t>
        </is>
      </c>
      <c r="G39" s="5" t="n">
        <v>26</v>
      </c>
      <c r="H39" s="5" t="n">
        <v>59</v>
      </c>
      <c r="I39" s="4" t="inlineStr">
        <is>
          <t>GEO trim burn timeline load</t>
        </is>
      </c>
      <c r="J39" s="3" t="inlineStr">
        <is>
          <t>Complete</t>
        </is>
      </c>
      <c r="K39" s="4" t="inlineStr"/>
    </row>
    <row r="40">
      <c r="A40" s="7" t="n">
        <v>138</v>
      </c>
      <c r="B40" s="7" t="inlineStr">
        <is>
          <t>2026-07-09</t>
        </is>
      </c>
      <c r="C40" s="8" t="inlineStr">
        <is>
          <t>Svalbard</t>
        </is>
      </c>
      <c r="D40" s="7" t="inlineStr">
        <is>
          <t>S</t>
        </is>
      </c>
      <c r="E40" s="7" t="inlineStr">
        <is>
          <t>18:40</t>
        </is>
      </c>
      <c r="F40" s="7" t="inlineStr">
        <is>
          <t>18:50</t>
        </is>
      </c>
      <c r="G40" s="9" t="n">
        <v>10</v>
      </c>
      <c r="H40" s="9" t="n">
        <v>13</v>
      </c>
      <c r="I40" s="8" t="inlineStr">
        <is>
          <t>Health check</t>
        </is>
      </c>
      <c r="J40" s="7" t="inlineStr">
        <is>
          <t>Partial</t>
        </is>
      </c>
      <c r="K40" s="8" t="inlineStr">
        <is>
          <t>Rain fade, degraded margin</t>
        </is>
      </c>
    </row>
    <row r="41">
      <c r="A41" s="3" t="n">
        <v>139</v>
      </c>
      <c r="B41" s="3" t="inlineStr">
        <is>
          <t>2026-07-10</t>
        </is>
      </c>
      <c r="C41" s="4" t="inlineStr">
        <is>
          <t>Kourou</t>
        </is>
      </c>
      <c r="D41" s="3" t="inlineStr">
        <is>
          <t>S</t>
        </is>
      </c>
      <c r="E41" s="3" t="inlineStr">
        <is>
          <t>01:04</t>
        </is>
      </c>
      <c r="F41" s="3" t="inlineStr">
        <is>
          <t>01:32</t>
        </is>
      </c>
      <c r="G41" s="5" t="n">
        <v>28</v>
      </c>
      <c r="H41" s="5" t="n">
        <v>69</v>
      </c>
      <c r="I41" s="4" t="inlineStr">
        <is>
          <t>GEO trim burn coverage</t>
        </is>
      </c>
      <c r="J41" s="3" t="inlineStr">
        <is>
          <t>Complete</t>
        </is>
      </c>
      <c r="K41" s="4" t="inlineStr"/>
    </row>
    <row r="42">
      <c r="A42" s="7" t="n">
        <v>140</v>
      </c>
      <c r="B42" s="7" t="inlineStr">
        <is>
          <t>2026-07-10</t>
        </is>
      </c>
      <c r="C42" s="8" t="inlineStr">
        <is>
          <t>Hartebeesthoek</t>
        </is>
      </c>
      <c r="D42" s="7" t="inlineStr">
        <is>
          <t>S</t>
        </is>
      </c>
      <c r="E42" s="7" t="inlineStr">
        <is>
          <t>06:22</t>
        </is>
      </c>
      <c r="F42" s="7" t="inlineStr">
        <is>
          <t>06:49</t>
        </is>
      </c>
      <c r="G42" s="9" t="n">
        <v>27</v>
      </c>
      <c r="H42" s="9" t="n">
        <v>46</v>
      </c>
      <c r="I42" s="8" t="inlineStr">
        <is>
          <t>Post-trim state vector</t>
        </is>
      </c>
      <c r="J42" s="7" t="inlineStr">
        <is>
          <t>Complete</t>
        </is>
      </c>
      <c r="K42" s="8" t="inlineStr"/>
    </row>
    <row r="43">
      <c r="A43" s="3" t="n">
        <v>141</v>
      </c>
      <c r="B43" s="3" t="inlineStr">
        <is>
          <t>2026-07-10</t>
        </is>
      </c>
      <c r="C43" s="4" t="inlineStr">
        <is>
          <t>Dongara</t>
        </is>
      </c>
      <c r="D43" s="3" t="inlineStr">
        <is>
          <t>S</t>
        </is>
      </c>
      <c r="E43" s="3" t="inlineStr">
        <is>
          <t>12:47</t>
        </is>
      </c>
      <c r="F43" s="3" t="inlineStr">
        <is>
          <t>13:08</t>
        </is>
      </c>
      <c r="G43" s="5" t="n">
        <v>21</v>
      </c>
      <c r="H43" s="5" t="n">
        <v>33</v>
      </c>
      <c r="I43" s="4" t="inlineStr">
        <is>
          <t>Ranging</t>
        </is>
      </c>
      <c r="J43" s="3" t="inlineStr">
        <is>
          <t>Complete</t>
        </is>
      </c>
      <c r="K43" s="4" t="inlineStr"/>
    </row>
    <row r="44">
      <c r="A44" s="7" t="n">
        <v>142</v>
      </c>
      <c r="B44" s="7" t="inlineStr">
        <is>
          <t>2026-07-10</t>
        </is>
      </c>
      <c r="C44" s="8" t="inlineStr">
        <is>
          <t>Kourou</t>
        </is>
      </c>
      <c r="D44" s="7" t="inlineStr">
        <is>
          <t>X</t>
        </is>
      </c>
      <c r="E44" s="7" t="inlineStr">
        <is>
          <t>17:58</t>
        </is>
      </c>
      <c r="F44" s="7" t="inlineStr">
        <is>
          <t>18:26</t>
        </is>
      </c>
      <c r="G44" s="9" t="n">
        <v>28</v>
      </c>
      <c r="H44" s="9" t="n">
        <v>72</v>
      </c>
      <c r="I44" s="8" t="inlineStr">
        <is>
          <t>Recorder dump</t>
        </is>
      </c>
      <c r="J44" s="7" t="inlineStr">
        <is>
          <t>Complete</t>
        </is>
      </c>
      <c r="K44" s="8" t="inlineStr"/>
    </row>
    <row r="45">
      <c r="A45" s="3" t="n">
        <v>143</v>
      </c>
      <c r="B45" s="3" t="inlineStr">
        <is>
          <t>2026-07-11</t>
        </is>
      </c>
      <c r="C45" s="4" t="inlineStr">
        <is>
          <t>Santiago</t>
        </is>
      </c>
      <c r="D45" s="3" t="inlineStr">
        <is>
          <t>S</t>
        </is>
      </c>
      <c r="E45" s="3" t="inlineStr">
        <is>
          <t>03:35</t>
        </is>
      </c>
      <c r="F45" s="3" t="inlineStr">
        <is>
          <t>03:47</t>
        </is>
      </c>
      <c r="G45" s="5" t="n">
        <v>12</v>
      </c>
      <c r="H45" s="5" t="n">
        <v>18</v>
      </c>
      <c r="I45" s="4" t="inlineStr">
        <is>
          <t>Health check</t>
        </is>
      </c>
      <c r="J45" s="3" t="inlineStr">
        <is>
          <t>Complete</t>
        </is>
      </c>
      <c r="K45" s="4" t="inlineStr"/>
    </row>
    <row r="46">
      <c r="A46" s="7" t="n">
        <v>144</v>
      </c>
      <c r="B46" s="7" t="inlineStr">
        <is>
          <t>2026-07-11</t>
        </is>
      </c>
      <c r="C46" s="8" t="inlineStr">
        <is>
          <t>Hartebeesthoek</t>
        </is>
      </c>
      <c r="D46" s="7" t="inlineStr">
        <is>
          <t>S</t>
        </is>
      </c>
      <c r="E46" s="7" t="inlineStr">
        <is>
          <t>08:14</t>
        </is>
      </c>
      <c r="F46" s="7" t="inlineStr">
        <is>
          <t>08:37</t>
        </is>
      </c>
      <c r="G46" s="9" t="n">
        <v>23</v>
      </c>
      <c r="H46" s="9" t="n">
        <v>51</v>
      </c>
      <c r="I46" s="8" t="inlineStr">
        <is>
          <t>Station acquisition, longitude drift check</t>
        </is>
      </c>
      <c r="J46" s="7" t="inlineStr">
        <is>
          <t>Complete</t>
        </is>
      </c>
      <c r="K46" s="8" t="inlineStr"/>
    </row>
    <row r="47">
      <c r="A47" s="3" t="n">
        <v>145</v>
      </c>
      <c r="B47" s="3" t="inlineStr">
        <is>
          <t>2026-07-11</t>
        </is>
      </c>
      <c r="C47" s="4" t="inlineStr">
        <is>
          <t>Kourou</t>
        </is>
      </c>
      <c r="D47" s="3" t="inlineStr">
        <is>
          <t>S</t>
        </is>
      </c>
      <c r="E47" s="3" t="inlineStr">
        <is>
          <t>15:41</t>
        </is>
      </c>
      <c r="F47" s="3" t="inlineStr">
        <is>
          <t>16:19</t>
        </is>
      </c>
      <c r="G47" s="5" t="n">
        <v>38</v>
      </c>
      <c r="H47" s="5" t="n">
        <v>67</v>
      </c>
      <c r="I47" s="4" t="inlineStr">
        <is>
          <t>Cmd upload, disposal timeline</t>
        </is>
      </c>
      <c r="J47" s="3" t="inlineStr">
        <is>
          <t>Complete</t>
        </is>
      </c>
      <c r="K47" s="4" t="inlineStr">
        <is>
          <t>Added late, replaced scrubbed pass 114</t>
        </is>
      </c>
    </row>
    <row r="48">
      <c r="A48" s="7" t="n">
        <v>146</v>
      </c>
      <c r="B48" s="7" t="inlineStr">
        <is>
          <t>2026-07-12</t>
        </is>
      </c>
      <c r="C48" s="8" t="inlineStr">
        <is>
          <t>Svalbard</t>
        </is>
      </c>
      <c r="D48" s="7" t="inlineStr">
        <is>
          <t>S</t>
        </is>
      </c>
      <c r="E48" s="7" t="inlineStr">
        <is>
          <t>00:29</t>
        </is>
      </c>
      <c r="F48" s="7" t="inlineStr">
        <is>
          <t>00:45</t>
        </is>
      </c>
      <c r="G48" s="9" t="n">
        <v>16</v>
      </c>
      <c r="H48" s="9" t="n">
        <v>29</v>
      </c>
      <c r="I48" s="8" t="inlineStr">
        <is>
          <t>Health check</t>
        </is>
      </c>
      <c r="J48" s="7" t="inlineStr">
        <is>
          <t>Complete</t>
        </is>
      </c>
      <c r="K48" s="8" t="inlineStr"/>
    </row>
    <row r="49">
      <c r="A49" s="3" t="n">
        <v>147</v>
      </c>
      <c r="B49" s="3" t="inlineStr">
        <is>
          <t>2026-07-12</t>
        </is>
      </c>
      <c r="C49" s="4" t="inlineStr">
        <is>
          <t>Kourou</t>
        </is>
      </c>
      <c r="D49" s="3" t="inlineStr">
        <is>
          <t>S</t>
        </is>
      </c>
      <c r="E49" s="3" t="inlineStr">
        <is>
          <t>06:58</t>
        </is>
      </c>
      <c r="F49" s="3" t="inlineStr">
        <is>
          <t>07:32</t>
        </is>
      </c>
      <c r="G49" s="5" t="n">
        <v>34</v>
      </c>
      <c r="H49" s="5" t="n">
        <v>65</v>
      </c>
      <c r="I49" s="4" t="inlineStr">
        <is>
          <t>Disposal burn coverage</t>
        </is>
      </c>
      <c r="J49" s="3" t="inlineStr">
        <is>
          <t>Complete</t>
        </is>
      </c>
      <c r="K49" s="4" t="inlineStr"/>
    </row>
    <row r="50">
      <c r="A50" s="7" t="n">
        <v>148</v>
      </c>
      <c r="B50" s="7" t="inlineStr">
        <is>
          <t>2026-07-12</t>
        </is>
      </c>
      <c r="C50" s="8" t="inlineStr">
        <is>
          <t>Hartebeesthoek</t>
        </is>
      </c>
      <c r="D50" s="7" t="inlineStr">
        <is>
          <t>S</t>
        </is>
      </c>
      <c r="E50" s="7" t="inlineStr">
        <is>
          <t>12:35</t>
        </is>
      </c>
      <c r="F50" s="7" t="inlineStr">
        <is>
          <t>12:55</t>
        </is>
      </c>
      <c r="G50" s="9" t="n">
        <v>20</v>
      </c>
      <c r="H50" s="9" t="n">
        <v>43</v>
      </c>
      <c r="I50" s="8" t="inlineStr">
        <is>
          <t>Post-disposal state vector</t>
        </is>
      </c>
      <c r="J50" s="7" t="inlineStr">
        <is>
          <t>Complete</t>
        </is>
      </c>
      <c r="K50" s="8" t="inlineStr"/>
    </row>
    <row r="51">
      <c r="A51" s="3" t="n">
        <v>149</v>
      </c>
      <c r="B51" s="3" t="inlineStr">
        <is>
          <t>2026-07-12</t>
        </is>
      </c>
      <c r="C51" s="4" t="inlineStr">
        <is>
          <t>Dongara</t>
        </is>
      </c>
      <c r="D51" s="3" t="inlineStr">
        <is>
          <t>S</t>
        </is>
      </c>
      <c r="E51" s="3" t="inlineStr">
        <is>
          <t>19:07</t>
        </is>
      </c>
      <c r="F51" s="3" t="inlineStr">
        <is>
          <t>19:30</t>
        </is>
      </c>
      <c r="G51" s="5" t="n">
        <v>23</v>
      </c>
      <c r="H51" s="5" t="n">
        <v>39</v>
      </c>
      <c r="I51" s="4" t="inlineStr">
        <is>
          <t>Final health check, end of mission</t>
        </is>
      </c>
      <c r="J51" s="3" t="inlineStr">
        <is>
          <t>Complete</t>
        </is>
      </c>
      <c r="K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7" customWidth="1" min="4" max="4"/>
    <col width="8" customWidth="1" min="5" max="5"/>
    <col width="8" customWidth="1" min="6" max="6"/>
    <col width="7" customWidth="1" min="7" max="7"/>
  </cols>
  <sheetData>
    <row r="1">
      <c r="A1" s="1" t="inlineStr">
        <is>
          <t>HTS-1 Telemetry Channel List</t>
        </is>
      </c>
    </row>
    <row r="2">
      <c r="A2" s="2" t="inlineStr">
        <is>
          <t>Channel</t>
        </is>
      </c>
      <c r="B2" s="2" t="inlineStr">
        <is>
          <t>Subsystem</t>
        </is>
      </c>
      <c r="C2" s="2" t="inlineStr">
        <is>
          <t>Description</t>
        </is>
      </c>
      <c r="D2" s="2" t="inlineStr">
        <is>
          <t>Unit</t>
        </is>
      </c>
      <c r="E2" s="2" t="inlineStr">
        <is>
          <t>Low</t>
        </is>
      </c>
      <c r="F2" s="2" t="inlineStr">
        <is>
          <t>High</t>
        </is>
      </c>
      <c r="G2" s="2" t="inlineStr">
        <is>
          <t>Type</t>
        </is>
      </c>
    </row>
    <row r="3">
      <c r="A3" s="4" t="inlineStr">
        <is>
          <t>PRP_TKP_F</t>
        </is>
      </c>
      <c r="B3" s="4" t="inlineStr">
        <is>
          <t>Propulsion</t>
        </is>
      </c>
      <c r="C3" s="4" t="inlineStr">
        <is>
          <t>Fuel tank pressure</t>
        </is>
      </c>
      <c r="D3" s="3" t="inlineStr">
        <is>
          <t>psia</t>
        </is>
      </c>
      <c r="E3" s="5" t="n">
        <v>180</v>
      </c>
      <c r="F3" s="5" t="n">
        <v>310</v>
      </c>
      <c r="G3" s="3" t="inlineStr">
        <is>
          <t>AN</t>
        </is>
      </c>
    </row>
    <row r="4">
      <c r="A4" s="8" t="inlineStr">
        <is>
          <t>PRP_TKP_O</t>
        </is>
      </c>
      <c r="B4" s="8" t="inlineStr">
        <is>
          <t>Propulsion</t>
        </is>
      </c>
      <c r="C4" s="8" t="inlineStr">
        <is>
          <t>Ox tank pressure</t>
        </is>
      </c>
      <c r="D4" s="7" t="inlineStr">
        <is>
          <t>psia</t>
        </is>
      </c>
      <c r="E4" s="9" t="n">
        <v>180</v>
      </c>
      <c r="F4" s="9" t="n">
        <v>310</v>
      </c>
      <c r="G4" s="7" t="inlineStr">
        <is>
          <t>AN</t>
        </is>
      </c>
    </row>
    <row r="5">
      <c r="A5" s="4" t="inlineStr">
        <is>
          <t>PRP_TKT_F</t>
        </is>
      </c>
      <c r="B5" s="4" t="inlineStr">
        <is>
          <t>Propulsion</t>
        </is>
      </c>
      <c r="C5" s="4" t="inlineStr">
        <is>
          <t>Fuel tank temp</t>
        </is>
      </c>
      <c r="D5" s="3" t="inlineStr">
        <is>
          <t>degC</t>
        </is>
      </c>
      <c r="E5" s="5" t="n">
        <v>10</v>
      </c>
      <c r="F5" s="5" t="n">
        <v>45</v>
      </c>
      <c r="G5" s="3" t="inlineStr">
        <is>
          <t>AN</t>
        </is>
      </c>
    </row>
    <row r="6">
      <c r="A6" s="8" t="inlineStr">
        <is>
          <t>PRP_TKT_O</t>
        </is>
      </c>
      <c r="B6" s="8" t="inlineStr">
        <is>
          <t>Propulsion</t>
        </is>
      </c>
      <c r="C6" s="8" t="inlineStr">
        <is>
          <t>Ox tank temp</t>
        </is>
      </c>
      <c r="D6" s="7" t="inlineStr">
        <is>
          <t>degC</t>
        </is>
      </c>
      <c r="E6" s="9" t="n">
        <v>10</v>
      </c>
      <c r="F6" s="9" t="n">
        <v>45</v>
      </c>
      <c r="G6" s="7" t="inlineStr">
        <is>
          <t>AN</t>
        </is>
      </c>
    </row>
    <row r="7">
      <c r="A7" s="4" t="inlineStr">
        <is>
          <t>PRP_VLV_1</t>
        </is>
      </c>
      <c r="B7" s="4" t="inlineStr">
        <is>
          <t>Propulsion</t>
        </is>
      </c>
      <c r="C7" s="4" t="inlineStr">
        <is>
          <t>Main valve 1 state</t>
        </is>
      </c>
      <c r="D7" s="3" t="inlineStr">
        <is>
          <t>-</t>
        </is>
      </c>
      <c r="E7" s="5" t="n">
        <v>0</v>
      </c>
      <c r="F7" s="5" t="n">
        <v>1</v>
      </c>
      <c r="G7" s="3" t="inlineStr">
        <is>
          <t>BL</t>
        </is>
      </c>
    </row>
    <row r="8">
      <c r="A8" s="8" t="inlineStr">
        <is>
          <t>PRP_VLV_2</t>
        </is>
      </c>
      <c r="B8" s="8" t="inlineStr">
        <is>
          <t>Propulsion</t>
        </is>
      </c>
      <c r="C8" s="8" t="inlineStr">
        <is>
          <t>Main valve 2 state</t>
        </is>
      </c>
      <c r="D8" s="7" t="inlineStr">
        <is>
          <t>-</t>
        </is>
      </c>
      <c r="E8" s="9" t="n">
        <v>0</v>
      </c>
      <c r="F8" s="9" t="n">
        <v>1</v>
      </c>
      <c r="G8" s="7" t="inlineStr">
        <is>
          <t>BL</t>
        </is>
      </c>
    </row>
    <row r="9">
      <c r="A9" s="4" t="inlineStr">
        <is>
          <t>PRP_HE_P</t>
        </is>
      </c>
      <c r="B9" s="4" t="inlineStr">
        <is>
          <t>Propulsion</t>
        </is>
      </c>
      <c r="C9" s="4" t="inlineStr">
        <is>
          <t>Pressurant (He) pressure</t>
        </is>
      </c>
      <c r="D9" s="3" t="inlineStr">
        <is>
          <t>psia</t>
        </is>
      </c>
      <c r="E9" s="5" t="n">
        <v>0</v>
      </c>
      <c r="F9" s="5" t="n">
        <v>4000</v>
      </c>
      <c r="G9" s="3" t="inlineStr">
        <is>
          <t>AN</t>
        </is>
      </c>
    </row>
    <row r="10">
      <c r="A10" s="8" t="inlineStr">
        <is>
          <t>PRP_CHMB_P</t>
        </is>
      </c>
      <c r="B10" s="8" t="inlineStr">
        <is>
          <t>Propulsion</t>
        </is>
      </c>
      <c r="C10" s="8" t="inlineStr">
        <is>
          <t>Chamber pressure</t>
        </is>
      </c>
      <c r="D10" s="7" t="inlineStr">
        <is>
          <t>psia</t>
        </is>
      </c>
      <c r="E10" s="9" t="n">
        <v>0</v>
      </c>
      <c r="F10" s="9" t="n">
        <v>200</v>
      </c>
      <c r="G10" s="7" t="inlineStr">
        <is>
          <t>AN</t>
        </is>
      </c>
    </row>
    <row r="11">
      <c r="A11" s="4" t="inlineStr">
        <is>
          <t>RCS_THR_T</t>
        </is>
      </c>
      <c r="B11" s="4" t="inlineStr">
        <is>
          <t>Propulsion</t>
        </is>
      </c>
      <c r="C11" s="4" t="inlineStr">
        <is>
          <t>RCS catbed temp</t>
        </is>
      </c>
      <c r="D11" s="3" t="inlineStr">
        <is>
          <t>degC</t>
        </is>
      </c>
      <c r="E11" s="5" t="n">
        <v>0</v>
      </c>
      <c r="F11" s="5" t="n">
        <v>500</v>
      </c>
      <c r="G11" s="3" t="inlineStr">
        <is>
          <t>AN</t>
        </is>
      </c>
    </row>
    <row r="12">
      <c r="A12" s="8" t="inlineStr">
        <is>
          <t>RCS_VLV_A</t>
        </is>
      </c>
      <c r="B12" s="8" t="inlineStr">
        <is>
          <t>Propulsion</t>
        </is>
      </c>
      <c r="C12" s="8" t="inlineStr">
        <is>
          <t>RCS valve A state</t>
        </is>
      </c>
      <c r="D12" s="7" t="inlineStr">
        <is>
          <t>-</t>
        </is>
      </c>
      <c r="E12" s="9" t="n">
        <v>0</v>
      </c>
      <c r="F12" s="9" t="n">
        <v>1</v>
      </c>
      <c r="G12" s="7" t="inlineStr">
        <is>
          <t>BL</t>
        </is>
      </c>
    </row>
    <row r="13">
      <c r="A13" s="4" t="inlineStr">
        <is>
          <t>EPS_BUSV</t>
        </is>
      </c>
      <c r="B13" s="4" t="inlineStr">
        <is>
          <t>Power</t>
        </is>
      </c>
      <c r="C13" s="4" t="inlineStr">
        <is>
          <t>Bus voltage</t>
        </is>
      </c>
      <c r="D13" s="3" t="inlineStr">
        <is>
          <t>V</t>
        </is>
      </c>
      <c r="E13" s="5" t="n">
        <v>26</v>
      </c>
      <c r="F13" s="5" t="n">
        <v>30</v>
      </c>
      <c r="G13" s="3" t="inlineStr">
        <is>
          <t>AN</t>
        </is>
      </c>
    </row>
    <row r="14">
      <c r="A14" s="8" t="inlineStr">
        <is>
          <t>EPS_BATT_SOC</t>
        </is>
      </c>
      <c r="B14" s="8" t="inlineStr">
        <is>
          <t>Power</t>
        </is>
      </c>
      <c r="C14" s="8" t="inlineStr">
        <is>
          <t>Battery state of charge</t>
        </is>
      </c>
      <c r="D14" s="7" t="inlineStr">
        <is>
          <t>%</t>
        </is>
      </c>
      <c r="E14" s="9" t="n">
        <v>0</v>
      </c>
      <c r="F14" s="9" t="n">
        <v>100</v>
      </c>
      <c r="G14" s="7" t="inlineStr">
        <is>
          <t>AN</t>
        </is>
      </c>
    </row>
    <row r="15">
      <c r="A15" s="4" t="inlineStr">
        <is>
          <t>EPS_BATT_T</t>
        </is>
      </c>
      <c r="B15" s="4" t="inlineStr">
        <is>
          <t>Power</t>
        </is>
      </c>
      <c r="C15" s="4" t="inlineStr">
        <is>
          <t>Battery temperature</t>
        </is>
      </c>
      <c r="D15" s="3" t="inlineStr">
        <is>
          <t>degC</t>
        </is>
      </c>
      <c r="E15" s="5" t="n">
        <v>-5</v>
      </c>
      <c r="F15" s="5" t="n">
        <v>40</v>
      </c>
      <c r="G15" s="3" t="inlineStr">
        <is>
          <t>AN</t>
        </is>
      </c>
    </row>
    <row r="16">
      <c r="A16" s="8" t="inlineStr">
        <is>
          <t>EPS_SA_I</t>
        </is>
      </c>
      <c r="B16" s="8" t="inlineStr">
        <is>
          <t>Power</t>
        </is>
      </c>
      <c r="C16" s="8" t="inlineStr">
        <is>
          <t>Solar array current</t>
        </is>
      </c>
      <c r="D16" s="7" t="inlineStr">
        <is>
          <t>A</t>
        </is>
      </c>
      <c r="E16" s="9" t="n">
        <v>0</v>
      </c>
      <c r="F16" s="9" t="n">
        <v>30</v>
      </c>
      <c r="G16" s="7" t="inlineStr">
        <is>
          <t>AN</t>
        </is>
      </c>
    </row>
    <row r="17">
      <c r="A17" s="4" t="inlineStr">
        <is>
          <t>GNC_RWA1</t>
        </is>
      </c>
      <c r="B17" s="4" t="inlineStr">
        <is>
          <t>ADCS</t>
        </is>
      </c>
      <c r="C17" s="4" t="inlineStr">
        <is>
          <t>Reaction wheel 1 speed</t>
        </is>
      </c>
      <c r="D17" s="3" t="inlineStr">
        <is>
          <t>rpm</t>
        </is>
      </c>
      <c r="E17" s="5" t="n">
        <v>-6000</v>
      </c>
      <c r="F17" s="5" t="n">
        <v>6000</v>
      </c>
      <c r="G17" s="3" t="inlineStr">
        <is>
          <t>AN</t>
        </is>
      </c>
    </row>
    <row r="18">
      <c r="A18" s="8" t="inlineStr">
        <is>
          <t>GNC_RWA2</t>
        </is>
      </c>
      <c r="B18" s="8" t="inlineStr">
        <is>
          <t>ADCS</t>
        </is>
      </c>
      <c r="C18" s="8" t="inlineStr">
        <is>
          <t>Reaction wheel 2 speed</t>
        </is>
      </c>
      <c r="D18" s="7" t="inlineStr">
        <is>
          <t>rpm</t>
        </is>
      </c>
      <c r="E18" s="9" t="n">
        <v>-6000</v>
      </c>
      <c r="F18" s="9" t="n">
        <v>6000</v>
      </c>
      <c r="G18" s="7" t="inlineStr">
        <is>
          <t>AN</t>
        </is>
      </c>
    </row>
    <row r="19">
      <c r="A19" s="4" t="inlineStr">
        <is>
          <t>GNC_RWA3</t>
        </is>
      </c>
      <c r="B19" s="4" t="inlineStr">
        <is>
          <t>ADCS</t>
        </is>
      </c>
      <c r="C19" s="4" t="inlineStr">
        <is>
          <t>Reaction wheel 3 speed</t>
        </is>
      </c>
      <c r="D19" s="3" t="inlineStr">
        <is>
          <t>rpm</t>
        </is>
      </c>
      <c r="E19" s="5" t="n">
        <v>-6000</v>
      </c>
      <c r="F19" s="5" t="n">
        <v>6000</v>
      </c>
      <c r="G19" s="3" t="inlineStr">
        <is>
          <t>AN</t>
        </is>
      </c>
    </row>
    <row r="20">
      <c r="A20" s="8" t="inlineStr">
        <is>
          <t>GNC_RWA4</t>
        </is>
      </c>
      <c r="B20" s="8" t="inlineStr">
        <is>
          <t>ADCS</t>
        </is>
      </c>
      <c r="C20" s="8" t="inlineStr">
        <is>
          <t>Reaction wheel 4 speed</t>
        </is>
      </c>
      <c r="D20" s="7" t="inlineStr">
        <is>
          <t>rpm</t>
        </is>
      </c>
      <c r="E20" s="9" t="n">
        <v>-6000</v>
      </c>
      <c r="F20" s="9" t="n">
        <v>6000</v>
      </c>
      <c r="G20" s="7" t="inlineStr">
        <is>
          <t>AN</t>
        </is>
      </c>
    </row>
    <row r="21">
      <c r="A21" s="4" t="inlineStr">
        <is>
          <t>GNC_STR1</t>
        </is>
      </c>
      <c r="B21" s="4" t="inlineStr">
        <is>
          <t>ADCS</t>
        </is>
      </c>
      <c r="C21" s="4" t="inlineStr">
        <is>
          <t>Star tracker 1 valid</t>
        </is>
      </c>
      <c r="D21" s="3" t="inlineStr">
        <is>
          <t>-</t>
        </is>
      </c>
      <c r="E21" s="5" t="n">
        <v>0</v>
      </c>
      <c r="F21" s="5" t="n">
        <v>1</v>
      </c>
      <c r="G21" s="3" t="inlineStr">
        <is>
          <t>BL</t>
        </is>
      </c>
    </row>
    <row r="22">
      <c r="A22" s="8" t="inlineStr">
        <is>
          <t>GNC_STR2</t>
        </is>
      </c>
      <c r="B22" s="8" t="inlineStr">
        <is>
          <t>ADCS</t>
        </is>
      </c>
      <c r="C22" s="8" t="inlineStr">
        <is>
          <t>Star tracker 2 valid</t>
        </is>
      </c>
      <c r="D22" s="7" t="inlineStr">
        <is>
          <t>-</t>
        </is>
      </c>
      <c r="E22" s="9" t="n">
        <v>0</v>
      </c>
      <c r="F22" s="9" t="n">
        <v>1</v>
      </c>
      <c r="G22" s="7" t="inlineStr">
        <is>
          <t>BL</t>
        </is>
      </c>
    </row>
    <row r="23">
      <c r="A23" s="4" t="inlineStr">
        <is>
          <t>GNC_IMU_T</t>
        </is>
      </c>
      <c r="B23" s="4" t="inlineStr">
        <is>
          <t>ADCS</t>
        </is>
      </c>
      <c r="C23" s="4" t="inlineStr">
        <is>
          <t>IMU temperature</t>
        </is>
      </c>
      <c r="D23" s="3" t="inlineStr">
        <is>
          <t>degC</t>
        </is>
      </c>
      <c r="E23" s="5" t="n">
        <v>-10</v>
      </c>
      <c r="F23" s="5" t="n">
        <v>55</v>
      </c>
      <c r="G23" s="3" t="inlineStr">
        <is>
          <t>AN</t>
        </is>
      </c>
    </row>
    <row r="24">
      <c r="A24" s="8" t="inlineStr">
        <is>
          <t>THM_RAD1</t>
        </is>
      </c>
      <c r="B24" s="8" t="inlineStr">
        <is>
          <t>Thermal</t>
        </is>
      </c>
      <c r="C24" s="8" t="inlineStr">
        <is>
          <t>Radiator 1 temp</t>
        </is>
      </c>
      <c r="D24" s="7" t="inlineStr">
        <is>
          <t>degC</t>
        </is>
      </c>
      <c r="E24" s="9" t="n">
        <v>-40</v>
      </c>
      <c r="F24" s="9" t="n">
        <v>60</v>
      </c>
      <c r="G24" s="7" t="inlineStr">
        <is>
          <t>AN</t>
        </is>
      </c>
    </row>
    <row r="25">
      <c r="A25" s="4" t="inlineStr">
        <is>
          <t>THM_RAD2</t>
        </is>
      </c>
      <c r="B25" s="4" t="inlineStr">
        <is>
          <t>Thermal</t>
        </is>
      </c>
      <c r="C25" s="4" t="inlineStr">
        <is>
          <t>Radiator 2 temp</t>
        </is>
      </c>
      <c r="D25" s="3" t="inlineStr">
        <is>
          <t>degC</t>
        </is>
      </c>
      <c r="E25" s="5" t="n">
        <v>-40</v>
      </c>
      <c r="F25" s="5" t="n">
        <v>60</v>
      </c>
      <c r="G25" s="3" t="inlineStr">
        <is>
          <t>AN</t>
        </is>
      </c>
    </row>
    <row r="26">
      <c r="A26" s="8" t="inlineStr">
        <is>
          <t>THM_HTR_1</t>
        </is>
      </c>
      <c r="B26" s="8" t="inlineStr">
        <is>
          <t>Thermal</t>
        </is>
      </c>
      <c r="C26" s="8" t="inlineStr">
        <is>
          <t>Heater 1 duty</t>
        </is>
      </c>
      <c r="D26" s="7" t="inlineStr">
        <is>
          <t>%</t>
        </is>
      </c>
      <c r="E26" s="9" t="n">
        <v>0</v>
      </c>
      <c r="F26" s="9" t="n">
        <v>100</v>
      </c>
      <c r="G26" s="7" t="inlineStr">
        <is>
          <t>AN</t>
        </is>
      </c>
    </row>
    <row r="27">
      <c r="A27" s="4" t="inlineStr">
        <is>
          <t>COM_SBND_RSSI</t>
        </is>
      </c>
      <c r="B27" s="4" t="inlineStr">
        <is>
          <t>Comms</t>
        </is>
      </c>
      <c r="C27" s="4" t="inlineStr">
        <is>
          <t>S-band receive level</t>
        </is>
      </c>
      <c r="D27" s="3" t="inlineStr">
        <is>
          <t>dBm</t>
        </is>
      </c>
      <c r="E27" s="5" t="n">
        <v>-120</v>
      </c>
      <c r="F27" s="5" t="n">
        <v>-60</v>
      </c>
      <c r="G27" s="3" t="inlineStr">
        <is>
          <t>AN</t>
        </is>
      </c>
    </row>
    <row r="28">
      <c r="A28" s="8" t="inlineStr">
        <is>
          <t>COM_SBND_LCK</t>
        </is>
      </c>
      <c r="B28" s="8" t="inlineStr">
        <is>
          <t>Comms</t>
        </is>
      </c>
      <c r="C28" s="8" t="inlineStr">
        <is>
          <t>S-band lock</t>
        </is>
      </c>
      <c r="D28" s="7" t="inlineStr">
        <is>
          <t>-</t>
        </is>
      </c>
      <c r="E28" s="9" t="n">
        <v>0</v>
      </c>
      <c r="F28" s="9" t="n">
        <v>1</v>
      </c>
      <c r="G28" s="7" t="inlineStr">
        <is>
          <t>BL</t>
        </is>
      </c>
    </row>
    <row r="29">
      <c r="A29" s="4" t="inlineStr">
        <is>
          <t>COM_XBND_PWR</t>
        </is>
      </c>
      <c r="B29" s="4" t="inlineStr">
        <is>
          <t>Comms</t>
        </is>
      </c>
      <c r="C29" s="4" t="inlineStr">
        <is>
          <t>X-band TX power</t>
        </is>
      </c>
      <c r="D29" s="3" t="inlineStr">
        <is>
          <t>W</t>
        </is>
      </c>
      <c r="E29" s="5" t="n">
        <v>0</v>
      </c>
      <c r="F29" s="5" t="n">
        <v>70</v>
      </c>
      <c r="G29" s="3" t="inlineStr">
        <is>
          <t>AN</t>
        </is>
      </c>
    </row>
    <row r="30">
      <c r="A30" s="8" t="inlineStr">
        <is>
          <t>CDH_CPU_LD</t>
        </is>
      </c>
      <c r="B30" s="8" t="inlineStr">
        <is>
          <t>C&amp;DH</t>
        </is>
      </c>
      <c r="C30" s="8" t="inlineStr">
        <is>
          <t>CPU load</t>
        </is>
      </c>
      <c r="D30" s="7" t="inlineStr">
        <is>
          <t>%</t>
        </is>
      </c>
      <c r="E30" s="9" t="n">
        <v>0</v>
      </c>
      <c r="F30" s="9" t="n">
        <v>100</v>
      </c>
      <c r="G30" s="7" t="inlineStr">
        <is>
          <t>AN</t>
        </is>
      </c>
    </row>
    <row r="31">
      <c r="A31" s="4" t="inlineStr">
        <is>
          <t>CDH_MEM_USE</t>
        </is>
      </c>
      <c r="B31" s="4" t="inlineStr">
        <is>
          <t>C&amp;DH</t>
        </is>
      </c>
      <c r="C31" s="4" t="inlineStr">
        <is>
          <t>Memory usage</t>
        </is>
      </c>
      <c r="D31" s="3" t="inlineStr">
        <is>
          <t>%</t>
        </is>
      </c>
      <c r="E31" s="5" t="n">
        <v>0</v>
      </c>
      <c r="F31" s="5" t="n">
        <v>100</v>
      </c>
      <c r="G31" s="3" t="inlineStr">
        <is>
          <t>AN</t>
        </is>
      </c>
    </row>
    <row r="32">
      <c r="A32" s="8" t="inlineStr">
        <is>
          <t>CDH_SEU_CNT</t>
        </is>
      </c>
      <c r="B32" s="8" t="inlineStr">
        <is>
          <t>C&amp;DH</t>
        </is>
      </c>
      <c r="C32" s="8" t="inlineStr">
        <is>
          <t>SEU counter</t>
        </is>
      </c>
      <c r="D32" s="7" t="inlineStr">
        <is>
          <t>-</t>
        </is>
      </c>
      <c r="E32" s="9" t="n">
        <v>0</v>
      </c>
      <c r="F32" s="9" t="n">
        <v>65535</v>
      </c>
      <c r="G32" s="7" t="inlineStr">
        <is>
          <t>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52" customWidth="1" min="4" max="4"/>
    <col width="10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HTS-1 Mission Maneuver Plan (current)</t>
        </is>
      </c>
    </row>
    <row r="2">
      <c r="A2" s="2" t="inlineStr">
        <is>
          <t>Item</t>
        </is>
      </c>
      <c r="B2" s="2" t="inlineStr">
        <is>
          <t>Maneuver ID</t>
        </is>
      </c>
      <c r="C2" s="2" t="inlineStr">
        <is>
          <t>Phase</t>
        </is>
      </c>
      <c r="D2" s="2" t="inlineStr">
        <is>
          <t>Description</t>
        </is>
      </c>
      <c r="E2" s="2" t="inlineStr">
        <is>
          <t>Delta-V</t>
        </is>
      </c>
      <c r="F2" s="2" t="inlineStr">
        <is>
          <t>UoM</t>
        </is>
      </c>
      <c r="G2" s="2" t="inlineStr">
        <is>
          <t>Rev</t>
        </is>
      </c>
      <c r="H2" s="2" t="inlineStr">
        <is>
          <t>Engine</t>
        </is>
      </c>
    </row>
    <row r="3">
      <c r="A3" s="3" t="n">
        <v>1</v>
      </c>
      <c r="B3" s="3" t="inlineStr">
        <is>
          <t>M1</t>
        </is>
      </c>
      <c r="C3" s="4" t="inlineStr">
        <is>
          <t>Phasing</t>
        </is>
      </c>
      <c r="D3" s="4" t="inlineStr">
        <is>
          <t>Phasing burn</t>
        </is>
      </c>
      <c r="E3" s="5" t="n">
        <v>120</v>
      </c>
      <c r="F3" s="3" t="inlineStr">
        <is>
          <t>m/s</t>
        </is>
      </c>
      <c r="G3" s="3" t="inlineStr">
        <is>
          <t>-001</t>
        </is>
      </c>
      <c r="H3" s="3" t="inlineStr">
        <is>
          <t>Main</t>
        </is>
      </c>
    </row>
    <row r="4">
      <c r="A4" s="7" t="n">
        <v>2</v>
      </c>
      <c r="B4" s="7" t="inlineStr">
        <is>
          <t>M2</t>
        </is>
      </c>
      <c r="C4" s="8" t="inlineStr">
        <is>
          <t>Transfer</t>
        </is>
      </c>
      <c r="D4" s="8" t="inlineStr">
        <is>
          <t>Combined apogee insertion (circularize + plane change)</t>
        </is>
      </c>
      <c r="E4" s="9" t="inlineStr">
        <is>
          <t>DERIVE</t>
        </is>
      </c>
      <c r="F4" s="7" t="inlineStr">
        <is>
          <t>m/s</t>
        </is>
      </c>
      <c r="G4" s="7" t="inlineStr">
        <is>
          <t>-002</t>
        </is>
      </c>
      <c r="H4" s="7" t="inlineStr">
        <is>
          <t>Main</t>
        </is>
      </c>
    </row>
    <row r="5">
      <c r="A5" s="3" t="n">
        <v>3</v>
      </c>
      <c r="B5" s="3" t="inlineStr">
        <is>
          <t>M3</t>
        </is>
      </c>
      <c r="C5" s="4" t="inlineStr">
        <is>
          <t>On-station</t>
        </is>
      </c>
      <c r="D5" s="4" t="inlineStr">
        <is>
          <t>GEO trim/station acquisition</t>
        </is>
      </c>
      <c r="E5" s="5" t="n">
        <v>115</v>
      </c>
      <c r="F5" s="3" t="inlineStr">
        <is>
          <t>ft/s</t>
        </is>
      </c>
      <c r="G5" s="3" t="inlineStr">
        <is>
          <t>-001</t>
        </is>
      </c>
      <c r="H5" s="3" t="inlineStr">
        <is>
          <t>Main</t>
        </is>
      </c>
    </row>
    <row r="6">
      <c r="A6" s="7" t="n">
        <v>4</v>
      </c>
      <c r="B6" s="7" t="inlineStr">
        <is>
          <t>M4</t>
        </is>
      </c>
      <c r="C6" s="8" t="inlineStr">
        <is>
          <t>Disposal</t>
        </is>
      </c>
      <c r="D6" s="8" t="inlineStr">
        <is>
          <t>Disposal to graveyard orbit</t>
        </is>
      </c>
      <c r="E6" s="9" t="inlineStr">
        <is>
          <t>DERIVE</t>
        </is>
      </c>
      <c r="F6" s="7" t="inlineStr">
        <is>
          <t>m/s</t>
        </is>
      </c>
      <c r="G6" s="7" t="inlineStr">
        <is>
          <t>-001</t>
        </is>
      </c>
      <c r="H6" s="7" t="inlineStr">
        <is>
          <t>Main</t>
        </is>
      </c>
    </row>
    <row r="8">
      <c r="A8" s="13" t="inlineStr">
        <is>
          <t>Subtotal of the burns already sized. The two DERIVE rows are not in it, they still have to be computed from the orbit parameters.</t>
        </is>
      </c>
    </row>
    <row r="9">
      <c r="A9" s="2" t="inlineStr">
        <is>
          <t>Maneuver</t>
        </is>
      </c>
      <c r="B9" s="2" t="inlineStr">
        <is>
          <t>dV (m/s)</t>
        </is>
      </c>
    </row>
    <row r="10">
      <c r="A10" s="6" t="inlineStr">
        <is>
          <t>M1 phasing</t>
        </is>
      </c>
      <c r="B10" s="14" t="n">
        <v>120</v>
      </c>
    </row>
    <row r="11">
      <c r="A11" s="6" t="inlineStr">
        <is>
          <t>M3 GEO trim</t>
        </is>
      </c>
      <c r="B11" s="14">
        <f>E5*0.3048</f>
        <v>35.05</v>
      </c>
      <c r="C11" s="13" t="inlineStr">
        <is>
          <t>ft/s off the old GN&amp;C memo, converted here</t>
        </is>
      </c>
    </row>
    <row r="12">
      <c r="A12" s="10" t="inlineStr">
        <is>
          <t>Subtotal</t>
        </is>
      </c>
      <c r="B12" s="15">
        <f>SUM(B10:B11)</f>
        <v>155.05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6" customWidth="1" min="3" max="3"/>
    <col width="12" customWidth="1" min="4" max="4"/>
    <col width="30" customWidth="1" min="5" max="5"/>
  </cols>
  <sheetData>
    <row r="1">
      <c r="A1" s="1" t="inlineStr">
        <is>
          <t>HTS-1 Orbit Parameters</t>
        </is>
      </c>
    </row>
    <row r="2">
      <c r="A2" s="2" t="inlineStr">
        <is>
          <t>Parameter</t>
        </is>
      </c>
      <c r="B2" s="2" t="inlineStr">
        <is>
          <t>Symbol</t>
        </is>
      </c>
      <c r="C2" s="2" t="inlineStr">
        <is>
          <t>Value</t>
        </is>
      </c>
      <c r="D2" s="2" t="inlineStr">
        <is>
          <t>Unit</t>
        </is>
      </c>
      <c r="E2" s="2" t="inlineStr">
        <is>
          <t>Note</t>
        </is>
      </c>
    </row>
    <row r="3">
      <c r="A3" s="4" t="inlineStr">
        <is>
          <t>Earth gravitational parameter</t>
        </is>
      </c>
      <c r="B3" s="3" t="inlineStr">
        <is>
          <t>mu</t>
        </is>
      </c>
      <c r="C3" s="5" t="n">
        <v>398600.4418</v>
      </c>
      <c r="D3" s="3" t="inlineStr">
        <is>
          <t>km^3/s^2</t>
        </is>
      </c>
      <c r="E3" s="4" t="inlineStr">
        <is>
          <t>two body</t>
        </is>
      </c>
    </row>
    <row r="4">
      <c r="A4" s="8" t="inlineStr">
        <is>
          <t>Earth equatorial radius</t>
        </is>
      </c>
      <c r="B4" s="7" t="inlineStr">
        <is>
          <t>Re</t>
        </is>
      </c>
      <c r="C4" s="9" t="n">
        <v>6378.137</v>
      </c>
      <c r="D4" s="7" t="inlineStr">
        <is>
          <t>km</t>
        </is>
      </c>
      <c r="E4" s="8" t="inlineStr"/>
    </row>
    <row r="5">
      <c r="A5" s="4" t="inlineStr">
        <is>
          <t>GTO drop-off perigee altitude</t>
        </is>
      </c>
      <c r="B5" s="3" t="inlineStr">
        <is>
          <t>hp</t>
        </is>
      </c>
      <c r="C5" s="5" t="n">
        <v>200</v>
      </c>
      <c r="D5" s="3" t="inlineStr">
        <is>
          <t>km</t>
        </is>
      </c>
      <c r="E5" s="4" t="inlineStr">
        <is>
          <t>from launch vehicle ICD</t>
        </is>
      </c>
    </row>
    <row r="6">
      <c r="A6" s="8" t="inlineStr">
        <is>
          <t>GTO apogee altitude (= GEO)</t>
        </is>
      </c>
      <c r="B6" s="7" t="inlineStr">
        <is>
          <t>ha</t>
        </is>
      </c>
      <c r="C6" s="9" t="n">
        <v>35786</v>
      </c>
      <c r="D6" s="7" t="inlineStr">
        <is>
          <t>km</t>
        </is>
      </c>
      <c r="E6" s="8" t="inlineStr">
        <is>
          <t>apogee at GEO radius</t>
        </is>
      </c>
    </row>
    <row r="7">
      <c r="A7" s="4" t="inlineStr">
        <is>
          <t>GTO drop-off inclination</t>
        </is>
      </c>
      <c r="B7" s="3" t="inlineStr">
        <is>
          <t>i_gto</t>
        </is>
      </c>
      <c r="C7" s="5" t="n">
        <v>27</v>
      </c>
      <c r="D7" s="3" t="inlineStr">
        <is>
          <t>deg</t>
        </is>
      </c>
      <c r="E7" s="4" t="inlineStr">
        <is>
          <t>to be removed at apogee</t>
        </is>
      </c>
    </row>
    <row r="8">
      <c r="A8" s="8" t="inlineStr">
        <is>
          <t>Target orbit</t>
        </is>
      </c>
      <c r="B8" s="7" t="inlineStr">
        <is>
          <t>-</t>
        </is>
      </c>
      <c r="C8" s="9" t="inlineStr">
        <is>
          <t>GEO circular equatorial</t>
        </is>
      </c>
      <c r="D8" s="7" t="inlineStr">
        <is>
          <t>-</t>
        </is>
      </c>
      <c r="E8" s="8" t="inlineStr">
        <is>
          <t>i = 0 deg</t>
        </is>
      </c>
    </row>
    <row r="9">
      <c r="A9" s="4" t="inlineStr">
        <is>
          <t>Graveyard altitude above GEO</t>
        </is>
      </c>
      <c r="B9" s="3" t="inlineStr">
        <is>
          <t>d_alt</t>
        </is>
      </c>
      <c r="C9" s="5" t="n">
        <v>300</v>
      </c>
      <c r="D9" s="3" t="inlineStr">
        <is>
          <t>km</t>
        </is>
      </c>
      <c r="E9" s="4" t="inlineStr">
        <is>
          <t>disposal, two-burn Hohmann</t>
        </is>
      </c>
    </row>
    <row r="10">
      <c r="A10" s="8" t="inlineStr">
        <is>
          <t>Standard gravity</t>
        </is>
      </c>
      <c r="B10" s="7" t="inlineStr">
        <is>
          <t>g0</t>
        </is>
      </c>
      <c r="C10" s="9" t="n">
        <v>9.806649999999999</v>
      </c>
      <c r="D10" s="7" t="inlineStr">
        <is>
          <t>m/s^2</t>
        </is>
      </c>
      <c r="E10" s="8" t="inlineStr">
        <is>
          <t>for Isp -&gt; Ve</t>
        </is>
      </c>
    </row>
    <row r="12">
      <c r="A12" s="13" t="inlineStr">
        <is>
          <t>Radii the burn sizing keys off. Both are altitude plus Re.</t>
        </is>
      </c>
    </row>
    <row r="13">
      <c r="A13" s="6" t="inlineStr">
        <is>
          <t>GTO perigee radius Rp</t>
        </is>
      </c>
      <c r="B13" s="14">
        <f>C5+C4</f>
        <v>6578.14</v>
      </c>
      <c r="C13" s="12" t="inlineStr">
        <is>
          <t>km</t>
        </is>
      </c>
    </row>
    <row r="14">
      <c r="A14" s="6" t="inlineStr">
        <is>
          <t>GTO/GEO apogee radius Ra</t>
        </is>
      </c>
      <c r="B14" s="14">
        <f>C6+C4</f>
        <v>42164.14</v>
      </c>
      <c r="C14" s="12" t="inlineStr">
        <is>
          <t>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Helios Space</dc:creator>
  <dcterms:created xmlns:dcterms="http://purl.org/dc/terms/" xmlns:xsi="http://www.w3.org/2001/XMLSchema-instance" xsi:type="dcterms:W3CDTF">2026-08-05T01:35:37Z</dcterms:created>
  <dcterms:modified xmlns:dcterms="http://purl.org/dc/terms/" xmlns:xsi="http://www.w3.org/2001/XMLSchema-instance" xsi:type="dcterms:W3CDTF">2026-08-05T01:35:37Z</dcterms:modified>
</cp:coreProperties>
</file>