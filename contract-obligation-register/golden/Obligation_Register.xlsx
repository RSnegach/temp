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 Register" sheetId="1" state="visible" r:id="rId1"/>
    <sheet xmlns:r="http://schemas.openxmlformats.org/officeDocument/2006/relationships" name="Anchors and Holidays" sheetId="2" state="visible" r:id="rId2"/>
    <sheet xmlns:r="http://schemas.openxmlformats.org/officeDocument/2006/relationships" name="Dro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9" customWidth="1" min="4" max="4"/>
    <col width="60" customWidth="1" min="5" max="5"/>
    <col width="13" customWidth="1" min="6" max="6"/>
    <col width="9" customWidth="1" min="7" max="7"/>
  </cols>
  <sheetData>
    <row r="1">
      <c r="A1" s="1" t="inlineStr">
        <is>
          <t>Contract MER-2025-0087  |  Obligation deadline calendar  |  CY2025</t>
        </is>
      </c>
    </row>
    <row r="3">
      <c r="A3" s="2" t="inlineStr">
        <is>
          <t>#</t>
        </is>
      </c>
      <c r="B3" s="2" t="inlineStr">
        <is>
          <t>ID</t>
        </is>
      </c>
      <c r="C3" s="2" t="inlineStr">
        <is>
          <t>Obligation</t>
        </is>
      </c>
      <c r="D3" s="2" t="inlineStr">
        <is>
          <t>Party</t>
        </is>
      </c>
      <c r="E3" s="2" t="inlineStr">
        <is>
          <t>Basis</t>
        </is>
      </c>
      <c r="F3" s="2" t="inlineStr">
        <is>
          <t>Due date</t>
        </is>
      </c>
      <c r="G3" s="2" t="inlineStr">
        <is>
          <t>Weekday</t>
        </is>
      </c>
    </row>
    <row r="4">
      <c r="A4" s="3" t="n">
        <v>1</v>
      </c>
      <c r="B4" s="3" t="inlineStr">
        <is>
          <t>O2</t>
        </is>
      </c>
      <c r="C4" s="4" t="inlineStr">
        <is>
          <t>First monthly invoice issued</t>
        </is>
      </c>
      <c r="D4" s="3" t="inlineStr">
        <is>
          <t>Provider</t>
        </is>
      </c>
      <c r="E4" s="4" t="inlineStr">
        <is>
          <t>Within 5 business days after the Effective Date</t>
        </is>
      </c>
      <c r="F4" s="5">
        <f>WORKDAY('Anchors and Holidays'!$B$3,5,'Anchors and Holidays'!$D$3:$D$12)</f>
        <v>45680</v>
      </c>
      <c r="G4" s="6" t="str">
        <f>TEXT(F4,"ddd")</f>
        <v>Thu</v>
      </c>
    </row>
    <row r="5">
      <c r="A5" s="3" t="n">
        <v>2</v>
      </c>
      <c r="B5" s="3" t="inlineStr">
        <is>
          <t>O1</t>
        </is>
      </c>
      <c r="C5" s="4" t="inlineStr">
        <is>
          <t>Project kickoff meeting</t>
        </is>
      </c>
      <c r="D5" s="3" t="inlineStr">
        <is>
          <t>Provider</t>
        </is>
      </c>
      <c r="E5" s="4" t="inlineStr">
        <is>
          <t>Within 10 calendar days after the Effective Date; roll to next business day</t>
        </is>
      </c>
      <c r="F5" s="5">
        <f>WORKDAY('Anchors and Holidays'!$B$3+10-1,1,'Anchors and Holidays'!$D$3:$D$12)</f>
        <v>45684</v>
      </c>
      <c r="G5" s="6" t="str">
        <f>TEXT(F5,"ddd")</f>
        <v>Mon</v>
      </c>
    </row>
    <row r="6">
      <c r="A6" s="3" t="n">
        <v>3</v>
      </c>
      <c r="B6" s="3" t="inlineStr">
        <is>
          <t>O6</t>
        </is>
      </c>
      <c r="C6" s="4" t="inlineStr">
        <is>
          <t>Certificate of insurance delivered</t>
        </is>
      </c>
      <c r="D6" s="3" t="inlineStr">
        <is>
          <t>Provider</t>
        </is>
      </c>
      <c r="E6" s="4" t="inlineStr">
        <is>
          <t>Within 15 calendar days after the Effective Date; roll to next business day</t>
        </is>
      </c>
      <c r="F6" s="5">
        <f>WORKDAY('Anchors and Holidays'!$B$3+15-1,1,'Anchors and Holidays'!$D$3:$D$12)</f>
        <v>45687</v>
      </c>
      <c r="G6" s="6" t="str">
        <f>TEXT(F6,"ddd")</f>
        <v>Thu</v>
      </c>
    </row>
    <row r="7">
      <c r="A7" s="3" t="n">
        <v>4</v>
      </c>
      <c r="B7" s="3" t="inlineStr">
        <is>
          <t>O8.1</t>
        </is>
      </c>
      <c r="C7" s="4" t="inlineStr">
        <is>
          <t>Monthly status report</t>
        </is>
      </c>
      <c r="D7" s="3" t="inlineStr">
        <is>
          <t>Provider</t>
        </is>
      </c>
      <c r="E7" s="4" t="inlineStr">
        <is>
          <t>By the 5th of each month; roll to next business day</t>
        </is>
      </c>
      <c r="F7" s="5">
        <f>WORKDAY(DATE(2025,2,5)-1,1,'Anchors and Holidays'!$D$3:$D$12)</f>
        <v>45693</v>
      </c>
      <c r="G7" s="6" t="str">
        <f>TEXT(F7,"ddd")</f>
        <v>Wed</v>
      </c>
    </row>
    <row r="8">
      <c r="A8" s="3" t="n">
        <v>5</v>
      </c>
      <c r="B8" s="3" t="inlineStr">
        <is>
          <t>O3</t>
        </is>
      </c>
      <c r="C8" s="4" t="inlineStr">
        <is>
          <t>Statement of Work sign-off</t>
        </is>
      </c>
      <c r="D8" s="3" t="inlineStr">
        <is>
          <t>Client</t>
        </is>
      </c>
      <c r="E8" s="4" t="inlineStr">
        <is>
          <t>Within 30 calendar days after the Effective Date; roll to next business day</t>
        </is>
      </c>
      <c r="F8" s="5">
        <f>WORKDAY('Anchors and Holidays'!$B$3+30-1,1,'Anchors and Holidays'!$D$3:$D$12)</f>
        <v>45702</v>
      </c>
      <c r="G8" s="6" t="str">
        <f>TEXT(F8,"ddd")</f>
        <v>Fri</v>
      </c>
    </row>
    <row r="9">
      <c r="A9" s="3" t="n">
        <v>6</v>
      </c>
      <c r="B9" s="3" t="inlineStr">
        <is>
          <t>O8.2</t>
        </is>
      </c>
      <c r="C9" s="4" t="inlineStr">
        <is>
          <t>Monthly status report</t>
        </is>
      </c>
      <c r="D9" s="3" t="inlineStr">
        <is>
          <t>Provider</t>
        </is>
      </c>
      <c r="E9" s="4" t="inlineStr">
        <is>
          <t>By the 5th of each month; roll to next business day</t>
        </is>
      </c>
      <c r="F9" s="5">
        <f>WORKDAY(DATE(2025,3,5)-1,1,'Anchors and Holidays'!$D$3:$D$12)</f>
        <v>45721</v>
      </c>
      <c r="G9" s="6" t="str">
        <f>TEXT(F9,"ddd")</f>
        <v>Wed</v>
      </c>
    </row>
    <row r="10">
      <c r="A10" s="3" t="n">
        <v>7</v>
      </c>
      <c r="B10" s="3" t="inlineStr">
        <is>
          <t>O11</t>
        </is>
      </c>
      <c r="C10" s="4" t="inlineStr">
        <is>
          <t>Integration report</t>
        </is>
      </c>
      <c r="D10" s="3" t="inlineStr">
        <is>
          <t>Provider</t>
        </is>
      </c>
      <c r="E10" s="4" t="inlineStr">
        <is>
          <t>Within 20 business days after the Statement of Work sign-off (chained to O3's due date)</t>
        </is>
      </c>
      <c r="F10" s="5">
        <f>WORKDAY(F8,20,'Anchors and Holidays'!$D$3:$D$12)</f>
        <v>45733</v>
      </c>
      <c r="G10" s="6" t="str">
        <f>TEXT(F10,"ddd")</f>
        <v>Mon</v>
      </c>
    </row>
    <row r="11">
      <c r="A11" s="3" t="n">
        <v>8</v>
      </c>
      <c r="B11" s="3" t="inlineStr">
        <is>
          <t>O4.1</t>
        </is>
      </c>
      <c r="C11" s="4" t="inlineStr">
        <is>
          <t>Quarterly business review</t>
        </is>
      </c>
      <c r="D11" s="3" t="inlineStr">
        <is>
          <t>Both</t>
        </is>
      </c>
      <c r="E11" s="4" t="inlineStr">
        <is>
          <t>3 business days before each calendar quarter-end</t>
        </is>
      </c>
      <c r="F11" s="5">
        <f>WORKDAY(DATE(2025,3,31),-3,'Anchors and Holidays'!$D$3:$D$12)</f>
        <v>45742</v>
      </c>
      <c r="G11" s="6" t="str">
        <f>TEXT(F11,"ddd")</f>
        <v>Wed</v>
      </c>
    </row>
    <row r="12">
      <c r="A12" s="3" t="n">
        <v>9</v>
      </c>
      <c r="B12" s="3" t="inlineStr">
        <is>
          <t>O12</t>
        </is>
      </c>
      <c r="C12" s="4" t="inlineStr">
        <is>
          <t>Independent security review</t>
        </is>
      </c>
      <c r="D12" s="3" t="inlineStr">
        <is>
          <t>Provider</t>
        </is>
      </c>
      <c r="E12" s="4" t="inlineStr">
        <is>
          <t>Within 75 calendar days after Effective Date; only if data classification is High (Exhibit B)</t>
        </is>
      </c>
      <c r="F12" s="5">
        <f>WORKDAY('Anchors and Holidays'!$B$3+75-1,1,'Anchors and Holidays'!$D$3:$D$12)</f>
        <v>45747</v>
      </c>
      <c r="G12" s="6" t="str">
        <f>TEXT(F12,"ddd")</f>
        <v>Mon</v>
      </c>
    </row>
    <row r="13">
      <c r="A13" s="3" t="n">
        <v>10</v>
      </c>
      <c r="B13" s="3" t="inlineStr">
        <is>
          <t>O8.3</t>
        </is>
      </c>
      <c r="C13" s="4" t="inlineStr">
        <is>
          <t>Monthly status report</t>
        </is>
      </c>
      <c r="D13" s="3" t="inlineStr">
        <is>
          <t>Provider</t>
        </is>
      </c>
      <c r="E13" s="4" t="inlineStr">
        <is>
          <t>By the 5th of each month; roll to next business day</t>
        </is>
      </c>
      <c r="F13" s="5">
        <f>WORKDAY(DATE(2025,4,5)-1,1,'Anchors and Holidays'!$D$3:$D$12)</f>
        <v>45754</v>
      </c>
      <c r="G13" s="6" t="str">
        <f>TEXT(F13,"ddd")</f>
        <v>Mon</v>
      </c>
    </row>
    <row r="14">
      <c r="A14" s="3" t="n">
        <v>11</v>
      </c>
      <c r="B14" s="3" t="inlineStr">
        <is>
          <t>O9</t>
        </is>
      </c>
      <c r="C14" s="4" t="inlineStr">
        <is>
          <t>Termination true-up statement</t>
        </is>
      </c>
      <c r="D14" s="3" t="inlineStr">
        <is>
          <t>Provider</t>
        </is>
      </c>
      <c r="E14" s="4" t="inlineStr">
        <is>
          <t>Within 45 calendar days after Amendment No.1 effective date (new)</t>
        </is>
      </c>
      <c r="F14" s="5">
        <f>WORKDAY('Anchors and Holidays'!$B$4+45-1,1,'Anchors and Holidays'!$D$3:$D$12)</f>
        <v>45764</v>
      </c>
      <c r="G14" s="6" t="str">
        <f>TEXT(F14,"ddd")</f>
        <v>Thu</v>
      </c>
    </row>
    <row r="15">
      <c r="A15" s="3" t="n">
        <v>12</v>
      </c>
      <c r="B15" s="3" t="inlineStr">
        <is>
          <t>O8.4</t>
        </is>
      </c>
      <c r="C15" s="4" t="inlineStr">
        <is>
          <t>Monthly status report</t>
        </is>
      </c>
      <c r="D15" s="3" t="inlineStr">
        <is>
          <t>Provider</t>
        </is>
      </c>
      <c r="E15" s="4" t="inlineStr">
        <is>
          <t>By the 5th of each month; roll to next business day</t>
        </is>
      </c>
      <c r="F15" s="5">
        <f>WORKDAY(DATE(2025,5,5)-1,1,'Anchors and Holidays'!$D$3:$D$12)</f>
        <v>45782</v>
      </c>
      <c r="G15" s="6" t="str">
        <f>TEXT(F15,"ddd")</f>
        <v>Mon</v>
      </c>
    </row>
    <row r="16">
      <c r="A16" s="3" t="n">
        <v>13</v>
      </c>
      <c r="B16" s="3" t="inlineStr">
        <is>
          <t>O8.5</t>
        </is>
      </c>
      <c r="C16" s="4" t="inlineStr">
        <is>
          <t>Monthly status report</t>
        </is>
      </c>
      <c r="D16" s="3" t="inlineStr">
        <is>
          <t>Provider</t>
        </is>
      </c>
      <c r="E16" s="4" t="inlineStr">
        <is>
          <t>By the 5th of each month; roll to next business day</t>
        </is>
      </c>
      <c r="F16" s="5">
        <f>WORKDAY(DATE(2025,6,5)-1,1,'Anchors and Holidays'!$D$3:$D$12)</f>
        <v>45813</v>
      </c>
      <c r="G16" s="6" t="str">
        <f>TEXT(F16,"ddd")</f>
        <v>Thu</v>
      </c>
    </row>
    <row r="17">
      <c r="A17" s="3" t="n">
        <v>14</v>
      </c>
      <c r="B17" s="3" t="inlineStr">
        <is>
          <t>O4.2</t>
        </is>
      </c>
      <c r="C17" s="4" t="inlineStr">
        <is>
          <t>Quarterly business review</t>
        </is>
      </c>
      <c r="D17" s="3" t="inlineStr">
        <is>
          <t>Both</t>
        </is>
      </c>
      <c r="E17" s="4" t="inlineStr">
        <is>
          <t>3 business days before each calendar quarter-end</t>
        </is>
      </c>
      <c r="F17" s="5">
        <f>WORKDAY(DATE(2025,6,30),-3,'Anchors and Holidays'!$D$3:$D$12)</f>
        <v>45833</v>
      </c>
      <c r="G17" s="6" t="str">
        <f>TEXT(F17,"ddd")</f>
        <v>Wed</v>
      </c>
    </row>
    <row r="18">
      <c r="A18" s="3" t="n">
        <v>15</v>
      </c>
      <c r="B18" s="3" t="inlineStr">
        <is>
          <t>O8.6</t>
        </is>
      </c>
      <c r="C18" s="4" t="inlineStr">
        <is>
          <t>Monthly status report</t>
        </is>
      </c>
      <c r="D18" s="3" t="inlineStr">
        <is>
          <t>Provider</t>
        </is>
      </c>
      <c r="E18" s="4" t="inlineStr">
        <is>
          <t>By the 5th of each month; roll to next business day</t>
        </is>
      </c>
      <c r="F18" s="5">
        <f>WORKDAY(DATE(2025,7,5)-1,1,'Anchors and Holidays'!$D$3:$D$12)</f>
        <v>45845</v>
      </c>
      <c r="G18" s="6" t="str">
        <f>TEXT(F18,"ddd")</f>
        <v>Mon</v>
      </c>
    </row>
    <row r="19">
      <c r="A19" s="3" t="n">
        <v>16</v>
      </c>
      <c r="B19" s="3" t="inlineStr">
        <is>
          <t>O5</t>
        </is>
      </c>
      <c r="C19" s="4" t="inlineStr">
        <is>
          <t>Annual audit support package</t>
        </is>
      </c>
      <c r="D19" s="3" t="inlineStr">
        <is>
          <t>Provider</t>
        </is>
      </c>
      <c r="E19" s="4" t="inlineStr">
        <is>
          <t>By July 31; required only if total annual fees exceed $250,000</t>
        </is>
      </c>
      <c r="F19" s="5">
        <f>WORKDAY(DATE(2025,7,31)-1,1,'Anchors and Holidays'!$D$3:$D$12)</f>
        <v>45869</v>
      </c>
      <c r="G19" s="6" t="str">
        <f>TEXT(F19,"ddd")</f>
        <v>Thu</v>
      </c>
    </row>
    <row r="20">
      <c r="A20" s="3" t="n">
        <v>17</v>
      </c>
      <c r="B20" s="3" t="inlineStr">
        <is>
          <t>O8.7</t>
        </is>
      </c>
      <c r="C20" s="4" t="inlineStr">
        <is>
          <t>Monthly status report</t>
        </is>
      </c>
      <c r="D20" s="3" t="inlineStr">
        <is>
          <t>Provider</t>
        </is>
      </c>
      <c r="E20" s="4" t="inlineStr">
        <is>
          <t>By the 5th of each month; roll to next business day</t>
        </is>
      </c>
      <c r="F20" s="5">
        <f>WORKDAY(DATE(2025,8,5)-1,1,'Anchors and Holidays'!$D$3:$D$12)</f>
        <v>45874</v>
      </c>
      <c r="G20" s="6" t="str">
        <f>TEXT(F20,"ddd")</f>
        <v>Tue</v>
      </c>
    </row>
    <row r="21">
      <c r="A21" s="3" t="n">
        <v>18</v>
      </c>
      <c r="B21" s="3" t="inlineStr">
        <is>
          <t>O7A</t>
        </is>
      </c>
      <c r="C21" s="4" t="inlineStr">
        <is>
          <t>Non-renewal notice (as amended)</t>
        </is>
      </c>
      <c r="D21" s="3" t="inlineStr">
        <is>
          <t>Either</t>
        </is>
      </c>
      <c r="E21" s="4" t="inlineStr">
        <is>
          <t>At least 90 business days before Dec 31 (Amendment No.1)</t>
        </is>
      </c>
      <c r="F21" s="5">
        <f>WORKDAY(DATE(2025,12,31),-90,'Anchors and Holidays'!$D$3:$D$12)</f>
        <v>45890</v>
      </c>
      <c r="G21" s="6" t="str">
        <f>TEXT(F21,"ddd")</f>
        <v>Thu</v>
      </c>
    </row>
    <row r="22">
      <c r="A22" s="3" t="n">
        <v>19</v>
      </c>
      <c r="B22" s="3" t="inlineStr">
        <is>
          <t>O8.8</t>
        </is>
      </c>
      <c r="C22" s="4" t="inlineStr">
        <is>
          <t>Monthly status report</t>
        </is>
      </c>
      <c r="D22" s="3" t="inlineStr">
        <is>
          <t>Provider</t>
        </is>
      </c>
      <c r="E22" s="4" t="inlineStr">
        <is>
          <t>By the 5th of each month; roll to next business day</t>
        </is>
      </c>
      <c r="F22" s="5">
        <f>WORKDAY(DATE(2025,9,5)-1,1,'Anchors and Holidays'!$D$3:$D$12)</f>
        <v>45905</v>
      </c>
      <c r="G22" s="6" t="str">
        <f>TEXT(F22,"ddd")</f>
        <v>Fri</v>
      </c>
    </row>
    <row r="23">
      <c r="A23" s="3" t="n">
        <v>20</v>
      </c>
      <c r="B23" s="3" t="inlineStr">
        <is>
          <t>O4.3</t>
        </is>
      </c>
      <c r="C23" s="4" t="inlineStr">
        <is>
          <t>Quarterly business review</t>
        </is>
      </c>
      <c r="D23" s="3" t="inlineStr">
        <is>
          <t>Both</t>
        </is>
      </c>
      <c r="E23" s="4" t="inlineStr">
        <is>
          <t>3 business days before each calendar quarter-end</t>
        </is>
      </c>
      <c r="F23" s="5">
        <f>WORKDAY(DATE(2025,9,30),-3,'Anchors and Holidays'!$D$3:$D$12)</f>
        <v>45925</v>
      </c>
      <c r="G23" s="6" t="str">
        <f>TEXT(F23,"ddd")</f>
        <v>Thu</v>
      </c>
    </row>
    <row r="24">
      <c r="A24" s="3" t="n">
        <v>21</v>
      </c>
      <c r="B24" s="3" t="inlineStr">
        <is>
          <t>O8.9</t>
        </is>
      </c>
      <c r="C24" s="4" t="inlineStr">
        <is>
          <t>Monthly status report</t>
        </is>
      </c>
      <c r="D24" s="3" t="inlineStr">
        <is>
          <t>Provider</t>
        </is>
      </c>
      <c r="E24" s="4" t="inlineStr">
        <is>
          <t>By the 5th of each month; roll to next business day</t>
        </is>
      </c>
      <c r="F24" s="5">
        <f>WORKDAY(DATE(2025,10,5)-1,1,'Anchors and Holidays'!$D$3:$D$12)</f>
        <v>45936</v>
      </c>
      <c r="G24" s="6" t="str">
        <f>TEXT(F24,"ddd")</f>
        <v>Mon</v>
      </c>
    </row>
    <row r="25">
      <c r="A25" s="3" t="n">
        <v>22</v>
      </c>
      <c r="B25" s="3" t="inlineStr">
        <is>
          <t>O8.10</t>
        </is>
      </c>
      <c r="C25" s="4" t="inlineStr">
        <is>
          <t>Monthly status report</t>
        </is>
      </c>
      <c r="D25" s="3" t="inlineStr">
        <is>
          <t>Provider</t>
        </is>
      </c>
      <c r="E25" s="4" t="inlineStr">
        <is>
          <t>By the 5th of each month; roll to next business day</t>
        </is>
      </c>
      <c r="F25" s="5">
        <f>WORKDAY(DATE(2025,11,5)-1,1,'Anchors and Holidays'!$D$3:$D$12)</f>
        <v>45966</v>
      </c>
      <c r="G25" s="6" t="str">
        <f>TEXT(F25,"ddd")</f>
        <v>Wed</v>
      </c>
    </row>
    <row r="26">
      <c r="A26" s="3" t="n">
        <v>23</v>
      </c>
      <c r="B26" s="3" t="inlineStr">
        <is>
          <t>O8.11</t>
        </is>
      </c>
      <c r="C26" s="4" t="inlineStr">
        <is>
          <t>Monthly status report</t>
        </is>
      </c>
      <c r="D26" s="3" t="inlineStr">
        <is>
          <t>Provider</t>
        </is>
      </c>
      <c r="E26" s="4" t="inlineStr">
        <is>
          <t>By the 5th of each month; roll to next business day</t>
        </is>
      </c>
      <c r="F26" s="5">
        <f>WORKDAY(DATE(2025,12,5)-1,1,'Anchors and Holidays'!$D$3:$D$12)</f>
        <v>45996</v>
      </c>
      <c r="G26" s="6" t="str">
        <f>TEXT(F26,"ddd")</f>
        <v>Fri</v>
      </c>
    </row>
    <row r="27">
      <c r="A27" s="3" t="n">
        <v>24</v>
      </c>
      <c r="B27" s="3" t="inlineStr">
        <is>
          <t>O4.4</t>
        </is>
      </c>
      <c r="C27" s="4" t="inlineStr">
        <is>
          <t>Quarterly business review</t>
        </is>
      </c>
      <c r="D27" s="3" t="inlineStr">
        <is>
          <t>Both</t>
        </is>
      </c>
      <c r="E27" s="4" t="inlineStr">
        <is>
          <t>3 business days before each calendar quarter-end</t>
        </is>
      </c>
      <c r="F27" s="5">
        <f>WORKDAY(DATE(2025,12,31),-3,'Anchors and Holidays'!$D$3:$D$12)</f>
        <v>46017</v>
      </c>
      <c r="G27" s="6" t="str">
        <f>TEXT(F27,"ddd")</f>
        <v>Fri</v>
      </c>
    </row>
    <row r="29">
      <c r="E29" s="1" t="inlineStr">
        <is>
          <t>Total active dated rows</t>
        </is>
      </c>
      <c r="F29" s="7">
        <f>COUNTA(B4:B27)</f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4" max="4"/>
    <col width="22" customWidth="1" min="5" max="5"/>
  </cols>
  <sheetData>
    <row r="1">
      <c r="A1" s="1" t="inlineStr">
        <is>
          <t>Key dates, facts, and the holiday calendar</t>
        </is>
      </c>
    </row>
    <row r="2">
      <c r="D2" s="1" t="inlineStr">
        <is>
          <t>Holiday calendar</t>
        </is>
      </c>
    </row>
    <row r="3">
      <c r="A3" s="8" t="inlineStr">
        <is>
          <t>Effective Date</t>
        </is>
      </c>
      <c r="B3" s="9" t="n">
        <v>45672</v>
      </c>
      <c r="D3" s="9" t="n">
        <v>45658</v>
      </c>
      <c r="E3" s="8" t="inlineStr">
        <is>
          <t>New Year's Day</t>
        </is>
      </c>
    </row>
    <row r="4">
      <c r="A4" s="8" t="inlineStr">
        <is>
          <t>Amendment No.1 Date</t>
        </is>
      </c>
      <c r="B4" s="9" t="n">
        <v>45719</v>
      </c>
      <c r="D4" s="9" t="n">
        <v>45677</v>
      </c>
      <c r="E4" s="8" t="inlineStr">
        <is>
          <t>MLK Day</t>
        </is>
      </c>
    </row>
    <row r="5">
      <c r="A5" s="8" t="inlineStr">
        <is>
          <t>Total annual fees</t>
        </is>
      </c>
      <c r="B5" s="10" t="n">
        <v>312000</v>
      </c>
      <c r="D5" s="9" t="n">
        <v>45705</v>
      </c>
      <c r="E5" s="8" t="inlineStr">
        <is>
          <t>Presidents Day</t>
        </is>
      </c>
    </row>
    <row r="6">
      <c r="A6" s="8" t="inlineStr">
        <is>
          <t>Processes personal data</t>
        </is>
      </c>
      <c r="B6" s="8" t="inlineStr">
        <is>
          <t>No</t>
        </is>
      </c>
      <c r="D6" s="9" t="n">
        <v>45803</v>
      </c>
      <c r="E6" s="8" t="inlineStr">
        <is>
          <t>Memorial Day</t>
        </is>
      </c>
    </row>
    <row r="7">
      <c r="A7" s="8" t="inlineStr">
        <is>
          <t>Data classification (Exhibit B)</t>
        </is>
      </c>
      <c r="B7" s="8" t="inlineStr">
        <is>
          <t>High</t>
        </is>
      </c>
      <c r="D7" s="9" t="n">
        <v>45827</v>
      </c>
      <c r="E7" s="8" t="inlineStr">
        <is>
          <t>Juneteenth</t>
        </is>
      </c>
    </row>
    <row r="8">
      <c r="D8" s="9" t="n">
        <v>45842</v>
      </c>
      <c r="E8" s="8" t="inlineStr">
        <is>
          <t>Independence Day</t>
        </is>
      </c>
    </row>
    <row r="9">
      <c r="D9" s="9" t="n">
        <v>45901</v>
      </c>
      <c r="E9" s="8" t="inlineStr">
        <is>
          <t>Labor Day</t>
        </is>
      </c>
    </row>
    <row r="10">
      <c r="D10" s="9" t="n">
        <v>45988</v>
      </c>
      <c r="E10" s="8" t="inlineStr">
        <is>
          <t>Thanksgiving</t>
        </is>
      </c>
    </row>
    <row r="11">
      <c r="D11" s="9" t="n">
        <v>45989</v>
      </c>
      <c r="E11" s="8" t="inlineStr">
        <is>
          <t>Day after Thanksgiving</t>
        </is>
      </c>
    </row>
    <row r="12">
      <c r="D12" s="9" t="n">
        <v>46016</v>
      </c>
      <c r="E12" s="8" t="inlineStr">
        <is>
          <t>Christmas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78" customWidth="1" min="3" max="3"/>
  </cols>
  <sheetData>
    <row r="1">
      <c r="A1" s="1" t="inlineStr">
        <is>
          <t>Obligations not on the calendar (with reason)</t>
        </is>
      </c>
    </row>
    <row r="3">
      <c r="A3" s="2" t="inlineStr">
        <is>
          <t>ID</t>
        </is>
      </c>
      <c r="B3" s="2" t="inlineStr">
        <is>
          <t>Obligation</t>
        </is>
      </c>
      <c r="C3" s="2" t="inlineStr">
        <is>
          <t>Reason</t>
        </is>
      </c>
    </row>
    <row r="4">
      <c r="A4" s="3" t="inlineStr">
        <is>
          <t>O7</t>
        </is>
      </c>
      <c r="B4" s="4" t="inlineStr">
        <is>
          <t>Non-renewal notice (original 60 business days)</t>
        </is>
      </c>
      <c r="C4" s="4" t="inlineStr">
        <is>
          <t>Superseded: Amendment No.1 deletes Section 7.2 in its entirety and replaces the 60 with 90 business days (see O7A).</t>
        </is>
      </c>
    </row>
    <row r="5">
      <c r="A5" s="3" t="inlineStr">
        <is>
          <t>O10</t>
        </is>
      </c>
      <c r="B5" s="4" t="inlineStr">
        <is>
          <t>Data-protection breach drill</t>
        </is>
      </c>
      <c r="C5" s="4" t="inlineStr">
        <is>
          <t>Condition not met: applies only if the Provider Processes Personal Data; the recital states it does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Operations</dc:creator>
  <dcterms:created xmlns:dcterms="http://purl.org/dc/terms/" xmlns:xsi="http://www.w3.org/2001/XMLSchema-instance" xsi:type="dcterms:W3CDTF">2026-07-20T16:52:36Z</dcterms:created>
  <dcterms:modified xmlns:dcterms="http://purl.org/dc/terms/" xmlns:xsi="http://www.w3.org/2001/XMLSchema-instance" xsi:type="dcterms:W3CDTF">2026-07-20T16:52:36Z</dcterms:modified>
</cp:coreProperties>
</file>