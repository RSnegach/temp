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osition" sheetId="1" state="visible" r:id="rId1"/>
    <sheet xmlns:r="http://schemas.openxmlformats.org/officeDocument/2006/relationships" name="Datum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000000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1" customWidth="1" min="5" max="5"/>
    <col width="10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10" customWidth="1" min="12" max="12"/>
    <col width="8" customWidth="1" min="13" max="13"/>
    <col width="11" customWidth="1" min="14" max="14"/>
    <col width="13" customWidth="1" min="15" max="15"/>
    <col width="11" customWidth="1" min="16" max="16"/>
    <col width="12" customWidth="1" min="17" max="17"/>
    <col width="10" customWidth="1" min="18" max="18"/>
    <col width="15" customWidth="1" min="19" max="19"/>
  </cols>
  <sheetData>
    <row r="1">
      <c r="A1" s="1" t="inlineStr">
        <is>
          <t>BRKT-4471 Mounting Bracket  |  Inspection Disposition  |  Serial 4471-0007</t>
        </is>
      </c>
    </row>
    <row r="3">
      <c r="A3" s="2" t="inlineStr">
        <is>
          <t>Feature</t>
        </is>
      </c>
      <c r="B3" s="2" t="inlineStr">
        <is>
          <t>Type</t>
        </is>
      </c>
      <c r="C3" s="2" t="inlineStr">
        <is>
          <t>Char</t>
        </is>
      </c>
      <c r="D3" s="2" t="inlineStr">
        <is>
          <t>Modifier</t>
        </is>
      </c>
      <c r="E3" s="2" t="inlineStr">
        <is>
          <t>Datum @MMC</t>
        </is>
      </c>
      <c r="F3" s="2" t="inlineStr">
        <is>
          <t>Meas Size</t>
        </is>
      </c>
      <c r="G3" s="2" t="inlineStr">
        <is>
          <t>Size MMC</t>
        </is>
      </c>
      <c r="H3" s="2" t="inlineStr">
        <is>
          <t>Size LMC</t>
        </is>
      </c>
      <c r="I3" s="2" t="inlineStr">
        <is>
          <t>Dev X</t>
        </is>
      </c>
      <c r="J3" s="2" t="inlineStr">
        <is>
          <t>Dev Y</t>
        </is>
      </c>
      <c r="K3" s="2" t="inlineStr">
        <is>
          <t>Surf Dev</t>
        </is>
      </c>
      <c r="L3" s="2" t="inlineStr">
        <is>
          <t>Stated Tol</t>
        </is>
      </c>
      <c r="M3" s="2" t="inlineStr">
        <is>
          <t>Bonus</t>
        </is>
      </c>
      <c r="N3" s="2" t="inlineStr">
        <is>
          <t>Datum Shift</t>
        </is>
      </c>
      <c r="O3" s="2" t="inlineStr">
        <is>
          <t>Total Allowed</t>
        </is>
      </c>
      <c r="P3" s="2" t="inlineStr">
        <is>
          <t>Actual Dev</t>
        </is>
      </c>
      <c r="Q3" s="2" t="inlineStr">
        <is>
          <t>Virtual Cond</t>
        </is>
      </c>
      <c r="R3" s="2" t="inlineStr">
        <is>
          <t>Size Check</t>
        </is>
      </c>
      <c r="S3" s="2" t="inlineStr">
        <is>
          <t>Disposition</t>
        </is>
      </c>
    </row>
    <row r="4">
      <c r="A4" s="3" t="inlineStr">
        <is>
          <t>H1</t>
        </is>
      </c>
      <c r="B4" s="3" t="inlineStr">
        <is>
          <t>hole</t>
        </is>
      </c>
      <c r="C4" s="3" t="inlineStr">
        <is>
          <t>position</t>
        </is>
      </c>
      <c r="D4" s="4" t="inlineStr">
        <is>
          <t>MMC</t>
        </is>
      </c>
      <c r="E4" s="4" t="inlineStr">
        <is>
          <t>B</t>
        </is>
      </c>
      <c r="F4" s="5" t="n">
        <v>8.05</v>
      </c>
      <c r="G4" s="5" t="n">
        <v>8</v>
      </c>
      <c r="H4" s="5" t="n">
        <v>8.1</v>
      </c>
      <c r="I4" s="6" t="n">
        <v>0.06</v>
      </c>
      <c r="J4" s="6" t="n">
        <v>0.05</v>
      </c>
      <c r="K4" s="4" t="inlineStr"/>
      <c r="L4" s="5" t="n">
        <v>0.2</v>
      </c>
      <c r="M4" s="6">
        <f>IF(C4&lt;&gt;"position",0,IF(D4&lt;&gt;"MMC",0,IF(B4="pin",G4-F4,F4-G4)))</f>
        <v>0.05</v>
      </c>
      <c r="N4" s="6">
        <f>IF(E4="",0,VLOOKUP(E4,Datums!$A$4:$E$5,5,FALSE))</f>
        <v>0.04</v>
      </c>
      <c r="O4" s="6">
        <f>IF(C4="position",L4+M4+N4,L4)</f>
        <v>0.29</v>
      </c>
      <c r="P4" s="6">
        <f>IF(C4="position",2*SQRT(I4^2+J4^2),K4)</f>
        <v>0.156</v>
      </c>
      <c r="Q4" s="6">
        <f>IF(C4&lt;&gt;"position","",IF(B4="pin",G4+L4,G4-L4))</f>
        <v>7.8</v>
      </c>
      <c r="R4" s="4" t="str">
        <f>IF(C4&lt;&gt;"position","n/a",IF(AND(F4&gt;=MIN(G4,H4),F4&lt;=MAX(G4,H4)),"PASS","FAIL"))</f>
        <v>PASS</v>
      </c>
      <c r="S4" s="7" t="str">
        <f>IF(R4="FAIL","REJECT (size)",IF(P4&lt;=O4,"ACCEPT","MRB"))</f>
        <v>ACCEPT</v>
      </c>
    </row>
    <row r="5">
      <c r="A5" s="3" t="inlineStr">
        <is>
          <t>H2</t>
        </is>
      </c>
      <c r="B5" s="3" t="inlineStr">
        <is>
          <t>hole</t>
        </is>
      </c>
      <c r="C5" s="3" t="inlineStr">
        <is>
          <t>position</t>
        </is>
      </c>
      <c r="D5" s="4" t="inlineStr">
        <is>
          <t>MMC</t>
        </is>
      </c>
      <c r="E5" s="4" t="inlineStr">
        <is>
          <t>B</t>
        </is>
      </c>
      <c r="F5" s="5" t="n">
        <v>8</v>
      </c>
      <c r="G5" s="5" t="n">
        <v>8</v>
      </c>
      <c r="H5" s="5" t="n">
        <v>8.1</v>
      </c>
      <c r="I5" s="6" t="n">
        <v>0.09</v>
      </c>
      <c r="J5" s="6" t="n">
        <v>0.06</v>
      </c>
      <c r="K5" s="4" t="inlineStr"/>
      <c r="L5" s="5" t="n">
        <v>0.2</v>
      </c>
      <c r="M5" s="6">
        <f>IF(C5&lt;&gt;"position",0,IF(D5&lt;&gt;"MMC",0,IF(B5="pin",G5-F5,F5-G5)))</f>
        <v>0</v>
      </c>
      <c r="N5" s="6">
        <f>IF(E5="",0,VLOOKUP(E5,Datums!$A$4:$E$5,5,FALSE))</f>
        <v>0.04</v>
      </c>
      <c r="O5" s="6">
        <f>IF(C5="position",L5+M5+N5,L5)</f>
        <v>0.24</v>
      </c>
      <c r="P5" s="6">
        <f>IF(C5="position",2*SQRT(I5^2+J5^2),K5)</f>
        <v>0.216</v>
      </c>
      <c r="Q5" s="6">
        <f>IF(C5&lt;&gt;"position","",IF(B5="pin",G5+L5,G5-L5))</f>
        <v>7.8</v>
      </c>
      <c r="R5" s="4" t="str">
        <f>IF(C5&lt;&gt;"position","n/a",IF(AND(F5&gt;=MIN(G5,H5),F5&lt;=MAX(G5,H5)),"PASS","FAIL"))</f>
        <v>PASS</v>
      </c>
      <c r="S5" s="7" t="str">
        <f>IF(R5="FAIL","REJECT (size)",IF(P5&lt;=O5,"ACCEPT","MRB"))</f>
        <v>ACCEPT</v>
      </c>
    </row>
    <row r="6">
      <c r="A6" s="3" t="inlineStr">
        <is>
          <t>H3</t>
        </is>
      </c>
      <c r="B6" s="3" t="inlineStr">
        <is>
          <t>hole</t>
        </is>
      </c>
      <c r="C6" s="3" t="inlineStr">
        <is>
          <t>position</t>
        </is>
      </c>
      <c r="D6" s="4" t="inlineStr">
        <is>
          <t>MMC</t>
        </is>
      </c>
      <c r="E6" s="4" t="inlineStr">
        <is>
          <t>B</t>
        </is>
      </c>
      <c r="F6" s="5" t="n">
        <v>8.1</v>
      </c>
      <c r="G6" s="5" t="n">
        <v>8</v>
      </c>
      <c r="H6" s="5" t="n">
        <v>8.1</v>
      </c>
      <c r="I6" s="6" t="n">
        <v>0.13</v>
      </c>
      <c r="J6" s="6" t="n">
        <v>0.093</v>
      </c>
      <c r="K6" s="4" t="inlineStr"/>
      <c r="L6" s="5" t="n">
        <v>0.2</v>
      </c>
      <c r="M6" s="6">
        <f>IF(C6&lt;&gt;"position",0,IF(D6&lt;&gt;"MMC",0,IF(B6="pin",G6-F6,F6-G6)))</f>
        <v>0.1</v>
      </c>
      <c r="N6" s="6">
        <f>IF(E6="",0,VLOOKUP(E6,Datums!$A$4:$E$5,5,FALSE))</f>
        <v>0.04</v>
      </c>
      <c r="O6" s="6">
        <f>IF(C6="position",L6+M6+N6,L6)</f>
        <v>0.34</v>
      </c>
      <c r="P6" s="6">
        <f>IF(C6="position",2*SQRT(I6^2+J6^2),K6)</f>
        <v>0.32</v>
      </c>
      <c r="Q6" s="6">
        <f>IF(C6&lt;&gt;"position","",IF(B6="pin",G6+L6,G6-L6))</f>
        <v>7.8</v>
      </c>
      <c r="R6" s="4" t="str">
        <f>IF(C6&lt;&gt;"position","n/a",IF(AND(F6&gt;=MIN(G6,H6),F6&lt;=MAX(G6,H6)),"PASS","FAIL"))</f>
        <v>PASS</v>
      </c>
      <c r="S6" s="7" t="str">
        <f>IF(R6="FAIL","REJECT (size)",IF(P6&lt;=O6,"ACCEPT","MRB"))</f>
        <v>ACCEPT</v>
      </c>
    </row>
    <row r="7">
      <c r="A7" s="3" t="inlineStr">
        <is>
          <t>H4</t>
        </is>
      </c>
      <c r="B7" s="3" t="inlineStr">
        <is>
          <t>hole</t>
        </is>
      </c>
      <c r="C7" s="3" t="inlineStr">
        <is>
          <t>position</t>
        </is>
      </c>
      <c r="D7" s="4" t="inlineStr">
        <is>
          <t>MMC</t>
        </is>
      </c>
      <c r="E7" s="4" t="inlineStr">
        <is>
          <t>B</t>
        </is>
      </c>
      <c r="F7" s="5" t="n">
        <v>8.02</v>
      </c>
      <c r="G7" s="5" t="n">
        <v>8</v>
      </c>
      <c r="H7" s="5" t="n">
        <v>8.1</v>
      </c>
      <c r="I7" s="6" t="n">
        <v>0.15</v>
      </c>
      <c r="J7" s="6" t="n">
        <v>0.11</v>
      </c>
      <c r="K7" s="4" t="inlineStr"/>
      <c r="L7" s="5" t="n">
        <v>0.2</v>
      </c>
      <c r="M7" s="6">
        <f>IF(C7&lt;&gt;"position",0,IF(D7&lt;&gt;"MMC",0,IF(B7="pin",G7-F7,F7-G7)))</f>
        <v>0.02</v>
      </c>
      <c r="N7" s="6">
        <f>IF(E7="",0,VLOOKUP(E7,Datums!$A$4:$E$5,5,FALSE))</f>
        <v>0.04</v>
      </c>
      <c r="O7" s="6">
        <f>IF(C7="position",L7+M7+N7,L7)</f>
        <v>0.26</v>
      </c>
      <c r="P7" s="6">
        <f>IF(C7="position",2*SQRT(I7^2+J7^2),K7)</f>
        <v>0.372</v>
      </c>
      <c r="Q7" s="6">
        <f>IF(C7&lt;&gt;"position","",IF(B7="pin",G7+L7,G7-L7))</f>
        <v>7.8</v>
      </c>
      <c r="R7" s="4" t="str">
        <f>IF(C7&lt;&gt;"position","n/a",IF(AND(F7&gt;=MIN(G7,H7),F7&lt;=MAX(G7,H7)),"PASS","FAIL"))</f>
        <v>PASS</v>
      </c>
      <c r="S7" s="7" t="str">
        <f>IF(R7="FAIL","REJECT (size)",IF(P7&lt;=O7,"ACCEPT","MRB"))</f>
        <v>MRB</v>
      </c>
    </row>
    <row r="8">
      <c r="A8" s="3" t="inlineStr">
        <is>
          <t>P1</t>
        </is>
      </c>
      <c r="B8" s="3" t="inlineStr">
        <is>
          <t>pin</t>
        </is>
      </c>
      <c r="C8" s="3" t="inlineStr">
        <is>
          <t>position</t>
        </is>
      </c>
      <c r="D8" s="4" t="inlineStr">
        <is>
          <t>MMC</t>
        </is>
      </c>
      <c r="E8" s="4" t="inlineStr"/>
      <c r="F8" s="5" t="n">
        <v>11.93</v>
      </c>
      <c r="G8" s="5" t="n">
        <v>12</v>
      </c>
      <c r="H8" s="5" t="n">
        <v>11.9</v>
      </c>
      <c r="I8" s="6" t="n">
        <v>0.08</v>
      </c>
      <c r="J8" s="6" t="n">
        <v>0.07</v>
      </c>
      <c r="K8" s="4" t="inlineStr"/>
      <c r="L8" s="5" t="n">
        <v>0.15</v>
      </c>
      <c r="M8" s="6">
        <f>IF(C8&lt;&gt;"position",0,IF(D8&lt;&gt;"MMC",0,IF(B8="pin",G8-F8,F8-G8)))</f>
        <v>0.07</v>
      </c>
      <c r="N8" s="6">
        <f>IF(E8="",0,VLOOKUP(E8,Datums!$A$4:$E$5,5,FALSE))</f>
        <v>0</v>
      </c>
      <c r="O8" s="6">
        <f>IF(C8="position",L8+M8+N8,L8)</f>
        <v>0.22</v>
      </c>
      <c r="P8" s="6">
        <f>IF(C8="position",2*SQRT(I8^2+J8^2),K8)</f>
        <v>0.213</v>
      </c>
      <c r="Q8" s="6">
        <f>IF(C8&lt;&gt;"position","",IF(B8="pin",G8+L8,G8-L8))</f>
        <v>12.15</v>
      </c>
      <c r="R8" s="4" t="str">
        <f>IF(C8&lt;&gt;"position","n/a",IF(AND(F8&gt;=MIN(G8,H8),F8&lt;=MAX(G8,H8)),"PASS","FAIL"))</f>
        <v>PASS</v>
      </c>
      <c r="S8" s="7" t="str">
        <f>IF(R8="FAIL","REJECT (size)",IF(P8&lt;=O8,"ACCEPT","MRB"))</f>
        <v>ACCEPT</v>
      </c>
    </row>
    <row r="9">
      <c r="A9" s="3" t="inlineStr">
        <is>
          <t>R1</t>
        </is>
      </c>
      <c r="B9" s="3" t="inlineStr">
        <is>
          <t>hole</t>
        </is>
      </c>
      <c r="C9" s="3" t="inlineStr">
        <is>
          <t>position</t>
        </is>
      </c>
      <c r="D9" s="4" t="inlineStr">
        <is>
          <t>RFS</t>
        </is>
      </c>
      <c r="E9" s="4" t="inlineStr"/>
      <c r="F9" s="5" t="n">
        <v>20.07</v>
      </c>
      <c r="G9" s="5" t="n">
        <v>20</v>
      </c>
      <c r="H9" s="5" t="n">
        <v>20.08</v>
      </c>
      <c r="I9" s="6" t="n">
        <v>0.05</v>
      </c>
      <c r="J9" s="6" t="n">
        <v>0.045</v>
      </c>
      <c r="K9" s="4" t="inlineStr"/>
      <c r="L9" s="5" t="n">
        <v>0.1</v>
      </c>
      <c r="M9" s="6">
        <f>IF(C9&lt;&gt;"position",0,IF(D9&lt;&gt;"MMC",0,IF(B9="pin",G9-F9,F9-G9)))</f>
        <v>0</v>
      </c>
      <c r="N9" s="6">
        <f>IF(E9="",0,VLOOKUP(E9,Datums!$A$4:$E$5,5,FALSE))</f>
        <v>0</v>
      </c>
      <c r="O9" s="6">
        <f>IF(C9="position",L9+M9+N9,L9)</f>
        <v>0.1</v>
      </c>
      <c r="P9" s="6">
        <f>IF(C9="position",2*SQRT(I9^2+J9^2),K9)</f>
        <v>0.135</v>
      </c>
      <c r="Q9" s="6">
        <f>IF(C9&lt;&gt;"position","",IF(B9="pin",G9+L9,G9-L9))</f>
        <v>19.9</v>
      </c>
      <c r="R9" s="4" t="str">
        <f>IF(C9&lt;&gt;"position","n/a",IF(AND(F9&gt;=MIN(G9,H9),F9&lt;=MAX(G9,H9)),"PASS","FAIL"))</f>
        <v>PASS</v>
      </c>
      <c r="S9" s="7" t="str">
        <f>IF(R9="FAIL","REJECT (size)",IF(P9&lt;=O9,"ACCEPT","MRB"))</f>
        <v>MRB</v>
      </c>
    </row>
    <row r="10">
      <c r="A10" s="3" t="inlineStr">
        <is>
          <t>H5</t>
        </is>
      </c>
      <c r="B10" s="3" t="inlineStr">
        <is>
          <t>hole</t>
        </is>
      </c>
      <c r="C10" s="3" t="inlineStr">
        <is>
          <t>position</t>
        </is>
      </c>
      <c r="D10" s="4" t="inlineStr">
        <is>
          <t>MMC</t>
        </is>
      </c>
      <c r="E10" s="4" t="inlineStr"/>
      <c r="F10" s="5" t="n">
        <v>5.09</v>
      </c>
      <c r="G10" s="5" t="n">
        <v>5</v>
      </c>
      <c r="H10" s="5" t="n">
        <v>5.06</v>
      </c>
      <c r="I10" s="6" t="n">
        <v>0.02</v>
      </c>
      <c r="J10" s="6" t="n">
        <v>0.02</v>
      </c>
      <c r="K10" s="4" t="inlineStr"/>
      <c r="L10" s="5" t="n">
        <v>0.25</v>
      </c>
      <c r="M10" s="6">
        <f>IF(C10&lt;&gt;"position",0,IF(D10&lt;&gt;"MMC",0,IF(B10="pin",G10-F10,F10-G10)))</f>
        <v>0.09</v>
      </c>
      <c r="N10" s="6">
        <f>IF(E10="",0,VLOOKUP(E10,Datums!$A$4:$E$5,5,FALSE))</f>
        <v>0</v>
      </c>
      <c r="O10" s="6">
        <f>IF(C10="position",L10+M10+N10,L10)</f>
        <v>0.34</v>
      </c>
      <c r="P10" s="6">
        <f>IF(C10="position",2*SQRT(I10^2+J10^2),K10)</f>
        <v>0.057</v>
      </c>
      <c r="Q10" s="6">
        <f>IF(C10&lt;&gt;"position","",IF(B10="pin",G10+L10,G10-L10))</f>
        <v>4.75</v>
      </c>
      <c r="R10" s="4" t="str">
        <f>IF(C10&lt;&gt;"position","n/a",IF(AND(F10&gt;=MIN(G10,H10),F10&lt;=MAX(G10,H10)),"PASS","FAIL"))</f>
        <v>FAIL</v>
      </c>
      <c r="S10" s="7" t="str">
        <f>IF(R10="FAIL","REJECT (size)",IF(P10&lt;=O10,"ACCEPT","MRB"))</f>
        <v>REJECT (size)</v>
      </c>
    </row>
    <row r="11">
      <c r="A11" s="3" t="inlineStr">
        <is>
          <t>S1</t>
        </is>
      </c>
      <c r="B11" s="3" t="inlineStr">
        <is>
          <t>profile</t>
        </is>
      </c>
      <c r="C11" s="3" t="inlineStr">
        <is>
          <t>profile</t>
        </is>
      </c>
      <c r="D11" s="4" t="inlineStr">
        <is>
          <t>-</t>
        </is>
      </c>
      <c r="E11" s="4" t="inlineStr"/>
      <c r="F11" s="4" t="inlineStr"/>
      <c r="G11" s="4" t="inlineStr"/>
      <c r="H11" s="4" t="inlineStr"/>
      <c r="I11" s="4" t="inlineStr"/>
      <c r="J11" s="4" t="inlineStr"/>
      <c r="K11" s="6" t="n">
        <v>0.24</v>
      </c>
      <c r="L11" s="5" t="n">
        <v>0.3</v>
      </c>
      <c r="M11" s="6">
        <f>IF(C11&lt;&gt;"position",0,IF(D11&lt;&gt;"MMC",0,IF(B11="pin",G11-F11,F11-G11)))</f>
        <v>0</v>
      </c>
      <c r="N11" s="6">
        <f>IF(E11="",0,VLOOKUP(E11,Datums!$A$4:$E$5,5,FALSE))</f>
        <v>0</v>
      </c>
      <c r="O11" s="6">
        <f>IF(C11="position",L11+M11+N11,L11)</f>
        <v>0.3</v>
      </c>
      <c r="P11" s="6">
        <f>IF(C11="position",2*SQRT(I11^2+J11^2),K11)</f>
        <v>0.24</v>
      </c>
      <c r="Q11" s="4" t="inlineStr"/>
      <c r="R11" s="4" t="str">
        <f>IF(C11&lt;&gt;"position","n/a",IF(AND(F11&gt;=MIN(G11,H11),F11&lt;=MAX(G11,H11)),"PASS","FAIL"))</f>
        <v>n/a</v>
      </c>
      <c r="S11" s="7" t="str">
        <f>IF(R11="FAIL","REJECT (size)",IF(P11&lt;=O11,"ACCEPT","MRB"))</f>
        <v>ACCEPT</v>
      </c>
    </row>
    <row r="12">
      <c r="A12" s="3" t="inlineStr">
        <is>
          <t>F1</t>
        </is>
      </c>
      <c r="B12" s="3" t="inlineStr">
        <is>
          <t>flatness</t>
        </is>
      </c>
      <c r="C12" s="3" t="inlineStr">
        <is>
          <t>flatness</t>
        </is>
      </c>
      <c r="D12" s="4" t="inlineStr">
        <is>
          <t>-</t>
        </is>
      </c>
      <c r="E12" s="4" t="inlineStr"/>
      <c r="F12" s="4" t="inlineStr"/>
      <c r="G12" s="4" t="inlineStr"/>
      <c r="H12" s="4" t="inlineStr"/>
      <c r="I12" s="4" t="inlineStr"/>
      <c r="J12" s="4" t="inlineStr"/>
      <c r="K12" s="6" t="n">
        <v>0.038</v>
      </c>
      <c r="L12" s="5" t="n">
        <v>0.05</v>
      </c>
      <c r="M12" s="6">
        <f>IF(C12&lt;&gt;"position",0,IF(D12&lt;&gt;"MMC",0,IF(B12="pin",G12-F12,F12-G12)))</f>
        <v>0</v>
      </c>
      <c r="N12" s="6">
        <f>IF(E12="",0,VLOOKUP(E12,Datums!$A$4:$E$5,5,FALSE))</f>
        <v>0</v>
      </c>
      <c r="O12" s="6">
        <f>IF(C12="position",L12+M12+N12,L12)</f>
        <v>0.05</v>
      </c>
      <c r="P12" s="6">
        <f>IF(C12="position",2*SQRT(I12^2+J12^2),K12)</f>
        <v>0.038</v>
      </c>
      <c r="Q12" s="4" t="inlineStr"/>
      <c r="R12" s="4" t="str">
        <f>IF(C12&lt;&gt;"position","n/a",IF(AND(F12&gt;=MIN(G12,H12),F12&lt;=MAX(G12,H12)),"PASS","FAIL"))</f>
        <v>n/a</v>
      </c>
      <c r="S12" s="7" t="str">
        <f>IF(R12="FAIL","REJECT (size)",IF(P12&lt;=O12,"ACCEPT","MRB"))</f>
        <v>ACCEPT</v>
      </c>
    </row>
  </sheetData>
  <conditionalFormatting sqref="S4:S12">
    <cfRule type="cellIs" priority="1" operator="containsText" dxfId="0">
      <formula>"ACCEPT"</formula>
    </cfRule>
    <cfRule type="cellIs" priority="2" operator="equal" dxfId="0">
      <formula>"ACCEPT"</formula>
    </cfRule>
    <cfRule type="cellIs" priority="3" operator="equal" dxfId="1">
      <formula>"MRB"</formula>
    </cfRule>
    <cfRule type="cellIs" priority="4" operator="equal" dxfId="2">
      <formula>"REJECT (size)"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24" customWidth="1" min="5" max="5"/>
  </cols>
  <sheetData>
    <row r="1">
      <c r="A1" s="1" t="inlineStr">
        <is>
          <t>Datum Features of Size</t>
        </is>
      </c>
    </row>
    <row r="3">
      <c r="A3" s="2" t="inlineStr">
        <is>
          <t>Datum</t>
        </is>
      </c>
      <c r="B3" s="2" t="inlineStr">
        <is>
          <t>Type</t>
        </is>
      </c>
      <c r="C3" s="2" t="inlineStr">
        <is>
          <t>MMC (mm)</t>
        </is>
      </c>
      <c r="D3" s="2" t="inlineStr">
        <is>
          <t>Measured (mm)</t>
        </is>
      </c>
      <c r="E3" s="2" t="inlineStr">
        <is>
          <t>Departure from MMC (mm)</t>
        </is>
      </c>
    </row>
    <row r="4">
      <c r="A4" s="4" t="inlineStr">
        <is>
          <t>B</t>
        </is>
      </c>
      <c r="B4" s="4" t="inlineStr">
        <is>
          <t>internal</t>
        </is>
      </c>
      <c r="C4" s="5" t="n">
        <v>10</v>
      </c>
      <c r="D4" s="5" t="n">
        <v>10.04</v>
      </c>
      <c r="E4" s="6">
        <f>IF(B4="internal",D4-C4,C4-D4)</f>
        <v>0.04</v>
      </c>
    </row>
    <row r="5">
      <c r="A5" s="4" t="inlineStr">
        <is>
          <t>C</t>
        </is>
      </c>
      <c r="B5" s="4" t="inlineStr">
        <is>
          <t>internal</t>
        </is>
      </c>
      <c r="C5" s="5" t="n">
        <v>6</v>
      </c>
      <c r="D5" s="5" t="n">
        <v>6</v>
      </c>
      <c r="E5" s="6">
        <f>IF(B5="internal",D5-C5,C5-D5)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</cols>
  <sheetData>
    <row r="1">
      <c r="A1" s="1" t="inlineStr">
        <is>
          <t>Disposition Summary</t>
        </is>
      </c>
    </row>
    <row r="3">
      <c r="A3" s="2" t="inlineStr">
        <is>
          <t>Disposition</t>
        </is>
      </c>
      <c r="B3" s="2" t="inlineStr">
        <is>
          <t>Count</t>
        </is>
      </c>
    </row>
    <row r="4">
      <c r="A4" s="3" t="inlineStr">
        <is>
          <t>ACCEPT</t>
        </is>
      </c>
      <c r="B4" s="8">
        <f>COUNTIF(Disposition!S4:S12,A4)</f>
        <v>6</v>
      </c>
    </row>
    <row r="5">
      <c r="A5" s="3" t="inlineStr">
        <is>
          <t>MRB</t>
        </is>
      </c>
      <c r="B5" s="8">
        <f>COUNTIF(Disposition!S4:S12,A5)</f>
        <v>2</v>
      </c>
    </row>
    <row r="6">
      <c r="A6" s="3" t="inlineStr">
        <is>
          <t>REJECT (size)</t>
        </is>
      </c>
      <c r="B6" s="8">
        <f>COUNTIF(Disposition!S4:S12,A6)</f>
        <v>1</v>
      </c>
    </row>
    <row r="7">
      <c r="A7" s="9" t="inlineStr">
        <is>
          <t>Total</t>
        </is>
      </c>
      <c r="B7" s="10">
        <f>SUM(B4:B6)</f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Quality Engineering</dc:creator>
  <dcterms:created xmlns:dcterms="http://purl.org/dc/terms/" xmlns:xsi="http://www.w3.org/2001/XMLSchema-instance" xsi:type="dcterms:W3CDTF">2026-07-20T12:55:16Z</dcterms:created>
  <dcterms:modified xmlns:dcterms="http://purl.org/dc/terms/" xmlns:xsi="http://www.w3.org/2001/XMLSchema-instance" xsi:type="dcterms:W3CDTF">2026-07-20T12:55:16Z</dcterms:modified>
</cp:coreProperties>
</file>