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3" autoFilterDateGrouping="1"/>
  </bookViews>
  <sheets>
    <sheet xmlns:r="http://schemas.openxmlformats.org/officeDocument/2006/relationships" name="Lot_Summary" sheetId="1" state="visible" r:id="rId1"/>
    <sheet xmlns:r="http://schemas.openxmlformats.org/officeDocument/2006/relationships" name="Per_Wafer" sheetId="2" state="visible" r:id="rId2"/>
    <sheet xmlns:r="http://schemas.openxmlformats.org/officeDocument/2006/relationships" name="Wafer_Map" sheetId="3" state="visible" r:id="rId3"/>
    <sheet xmlns:r="http://schemas.openxmlformats.org/officeDocument/2006/relationships" name="Site_Detail" sheetId="4" state="visible" r:id="rId4"/>
    <sheet xmlns:r="http://schemas.openxmlformats.org/officeDocument/2006/relationships" name="Raw_Data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5">
    <font>
      <name val="Calibri"/>
      <family val="2"/>
      <color theme="1"/>
      <sz val="11"/>
      <scheme val="minor"/>
    </font>
    <font>
      <name val="Calibri"/>
      <b val="1"/>
      <color rgb="000000"/>
      <sz val="14"/>
    </font>
    <font>
      <name val="Calibri"/>
      <i val="1"/>
      <color rgb="FF5A6472"/>
      <sz val="9"/>
    </font>
    <font>
      <name val="Calibri"/>
      <b val="1"/>
      <color rgb="FFFFFFFF"/>
      <sz val="10"/>
    </font>
    <font>
      <name val="Calibri"/>
      <b val="1"/>
      <color rgb="FF1A1A1A"/>
      <sz val="10"/>
    </font>
    <font>
      <name val="Calibri"/>
      <color rgb="FF1A1A1A"/>
      <sz val="10"/>
    </font>
    <font>
      <name val="Calibri"/>
      <b val="1"/>
      <color rgb="000000"/>
      <sz val="11"/>
    </font>
    <font>
      <name val="Consolas"/>
      <color rgb="FF1A1A1A"/>
      <sz val="9"/>
    </font>
    <font>
      <name val="Calibri"/>
      <b val="1"/>
      <color rgb="FF1A1A1A"/>
      <sz val="7"/>
    </font>
    <font>
      <name val="Calibri"/>
      <color rgb="FF1A1A1A"/>
      <sz val="7"/>
    </font>
    <font>
      <name val="Calibri"/>
      <b val="1"/>
      <color rgb="00333333"/>
      <sz val="11"/>
    </font>
    <font>
      <name val="Calibri"/>
      <b val="1"/>
      <color rgb="00FFFFFF"/>
      <sz val="11"/>
    </font>
    <font>
      <name val="Consolas"/>
      <sz val="9"/>
    </font>
    <font>
      <name val="Calibri"/>
      <b val="1"/>
      <color rgb="00FFFFFF"/>
      <sz val="10"/>
    </font>
    <font>
      <name val="Calibri"/>
      <b val="1"/>
      <color rgb="00FFFFFF"/>
      <sz val="14"/>
    </font>
  </fonts>
  <fills count="11">
    <fill>
      <patternFill/>
    </fill>
    <fill>
      <patternFill patternType="gray125"/>
    </fill>
    <fill>
      <patternFill patternType="solid">
        <fgColor rgb="000000"/>
      </patternFill>
    </fill>
    <fill>
      <patternFill patternType="solid">
        <fgColor rgb="FFC9E6D4"/>
      </patternFill>
    </fill>
    <fill>
      <patternFill patternType="solid">
        <fgColor rgb="FFFBE8C8"/>
      </patternFill>
    </fill>
    <fill>
      <patternFill patternType="solid">
        <fgColor rgb="FFEAF0F4"/>
      </patternFill>
    </fill>
    <fill>
      <patternFill patternType="solid">
        <fgColor rgb="FFF5CBC6"/>
      </patternFill>
    </fill>
    <fill>
      <patternFill patternType="solid">
        <fgColor rgb="FFD9D9D9"/>
      </patternFill>
    </fill>
    <fill>
      <patternFill patternType="solid">
        <fgColor rgb="006B7B8C"/>
      </patternFill>
    </fill>
    <fill>
      <patternFill patternType="solid"/>
    </fill>
    <fill>
      <patternFill patternType="solid">
        <fgColor rgb="007A5230"/>
      </patternFill>
    </fill>
  </fills>
  <borders count="3">
    <border>
      <left/>
      <right/>
      <top/>
      <bottom/>
      <diagonal/>
    </border>
    <border>
      <left style="thin">
        <color rgb="FFC3CDD6"/>
      </left>
      <right style="thin">
        <color rgb="FFC3CDD6"/>
      </right>
      <top style="thin">
        <color rgb="FFC3CDD6"/>
      </top>
      <bottom style="thin">
        <color rgb="FFC3CDD6"/>
      </bottom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6" fillId="0" borderId="1" pivotButton="0" quotePrefix="0" xfId="0"/>
    <xf numFmtId="0" fontId="6" fillId="3" borderId="1" applyAlignment="1" pivotButton="0" quotePrefix="0" xfId="0">
      <alignment vertical="center"/>
    </xf>
    <xf numFmtId="0" fontId="4" fillId="4" borderId="1" pivotButton="0" quotePrefix="0" xfId="0"/>
    <xf numFmtId="1" fontId="7" fillId="4" borderId="1" applyAlignment="1" pivotButton="0" quotePrefix="0" xfId="0">
      <alignment horizontal="center"/>
    </xf>
    <xf numFmtId="2" fontId="7" fillId="4" borderId="1" applyAlignment="1" pivotButton="0" quotePrefix="0" xfId="0">
      <alignment horizontal="center"/>
    </xf>
    <xf numFmtId="164" fontId="7" fillId="4" borderId="1" applyAlignment="1" pivotButton="0" quotePrefix="0" xfId="0">
      <alignment horizontal="center"/>
    </xf>
    <xf numFmtId="0" fontId="4" fillId="0" borderId="1" pivotButton="0" quotePrefix="0" xfId="0"/>
    <xf numFmtId="1" fontId="7" fillId="0" borderId="1" applyAlignment="1" pivotButton="0" quotePrefix="0" xfId="0">
      <alignment horizontal="center"/>
    </xf>
    <xf numFmtId="2" fontId="7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4" fillId="5" borderId="1" pivotButton="0" quotePrefix="0" xfId="0"/>
    <xf numFmtId="0" fontId="0" fillId="5" borderId="1" pivotButton="0" quotePrefix="0" xfId="0"/>
    <xf numFmtId="2" fontId="4" fillId="5" borderId="1" pivotButton="0" quotePrefix="0" xfId="0"/>
    <xf numFmtId="164" fontId="4" fillId="5" borderId="1" pivotButton="0" quotePrefix="0" xfId="0"/>
    <xf numFmtId="0" fontId="9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3" borderId="1" applyAlignment="1" pivotButton="0" quotePrefix="0" xfId="0">
      <alignment horizontal="left"/>
    </xf>
    <xf numFmtId="0" fontId="5" fillId="4" borderId="1" applyAlignment="1" pivotButton="0" quotePrefix="0" xfId="0">
      <alignment horizontal="left"/>
    </xf>
    <xf numFmtId="0" fontId="5" fillId="6" borderId="1" applyAlignment="1" pivotButton="0" quotePrefix="0" xfId="0">
      <alignment horizontal="left"/>
    </xf>
    <xf numFmtId="0" fontId="5" fillId="7" borderId="1" applyAlignment="1" pivotButton="0" quotePrefix="0" xfId="0">
      <alignment horizontal="left"/>
    </xf>
    <xf numFmtId="0" fontId="7" fillId="0" borderId="1" applyAlignment="1" pivotButton="0" quotePrefix="0" xfId="0">
      <alignment horizontal="center"/>
    </xf>
    <xf numFmtId="0" fontId="7" fillId="3" borderId="1" applyAlignment="1" pivotButton="0" quotePrefix="0" xfId="0">
      <alignment horizontal="center"/>
    </xf>
    <xf numFmtId="0" fontId="7" fillId="0" borderId="0" pivotButton="0" quotePrefix="0" xfId="0"/>
    <xf numFmtId="2" fontId="7" fillId="0" borderId="0" pivotButton="0" quotePrefix="0" xfId="0"/>
    <xf numFmtId="0" fontId="7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5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4" fillId="0" borderId="0" pivotButton="0" quotePrefix="0" xfId="0"/>
    <xf numFmtId="0" fontId="13" fillId="9" borderId="1" applyAlignment="1" pivotButton="0" quotePrefix="0" xfId="0">
      <alignment horizontal="center" vertical="center" wrapText="1"/>
    </xf>
    <xf numFmtId="0" fontId="14" fillId="10" borderId="0" pivotButton="0" quotePrefix="0" xfId="0"/>
    <xf numFmtId="0" fontId="10" fillId="0" borderId="0" pivotButton="0" quotePrefix="0" xfId="0"/>
    <xf numFmtId="0" fontId="11" fillId="8" borderId="0" pivotButton="0" quotePrefix="0" xfId="0"/>
    <xf numFmtId="0" fontId="12" fillId="0" borderId="2" pivotButton="0" quotePrefix="0" xfId="0"/>
    <xf numFmtId="2" fontId="12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4.4"/>
  <cols>
    <col width="34" customWidth="1" style="40" min="1" max="1"/>
    <col width="16" customWidth="1" style="40" min="2" max="2"/>
    <col width="10" customWidth="1" style="40" min="3" max="3"/>
  </cols>
  <sheetData>
    <row r="1" ht="18" customHeight="1" s="40">
      <c r="A1" s="1" t="inlineStr">
        <is>
          <t>Lot L7734-02 Sheet Resistance Analysis</t>
        </is>
      </c>
    </row>
    <row r="2">
      <c r="A2" s="42" t="inlineStr">
        <is>
          <t>Metric</t>
        </is>
      </c>
      <c r="B2" s="42" t="inlineStr">
        <is>
          <t>Value</t>
        </is>
      </c>
      <c r="C2" s="42" t="inlineStr">
        <is>
          <t>Verdict</t>
        </is>
      </c>
    </row>
    <row r="3">
      <c r="A3" s="4" t="inlineStr">
        <is>
          <t>Wafers in lot</t>
        </is>
      </c>
      <c r="B3" s="5" t="inlineStr">
        <is>
          <t>25</t>
        </is>
      </c>
      <c r="C3" s="6" t="n"/>
    </row>
    <row r="4">
      <c r="A4" s="5" t="inlineStr">
        <is>
          <t>Sites per wafer (total / included)</t>
        </is>
      </c>
      <c r="B4" s="5" t="inlineStr">
        <is>
          <t>49 / 33</t>
        </is>
      </c>
      <c r="C4" s="6" t="n"/>
    </row>
    <row r="5">
      <c r="A5" s="5" t="inlineStr">
        <is>
          <t>Lot mean Rs (ohm/sq)</t>
        </is>
      </c>
      <c r="B5" s="5" t="inlineStr">
        <is>
          <t>85.57</t>
        </is>
      </c>
      <c r="C5" s="6" t="n"/>
    </row>
    <row r="6">
      <c r="A6" s="5" t="inlineStr">
        <is>
          <t>Wafer-to-wafer W2W (%)</t>
        </is>
      </c>
      <c r="B6" s="5" t="inlineStr">
        <is>
          <t>1.69</t>
        </is>
      </c>
      <c r="C6" s="7" t="str">
        <f>IF(VALUE(LEFT(B6,FIND(" ",B6&amp;" ")-1))&lt;=3,"PASS","FAIL")</f>
        <v>PASS</v>
      </c>
    </row>
    <row r="7">
      <c r="A7" s="5" t="inlineStr">
        <is>
          <t>Max WIW nonuniformity (%)</t>
        </is>
      </c>
      <c r="B7" s="5" t="inlineStr">
        <is>
          <t>4.30</t>
        </is>
      </c>
      <c r="C7" s="7" t="str">
        <f>IF(VALUE(B7)&lt;=5,"PASS","FAIL")</f>
        <v>PASS</v>
      </c>
    </row>
    <row r="8">
      <c r="A8" s="5" t="inlineStr">
        <is>
          <t>Lot yield (included sites in spec)</t>
        </is>
      </c>
      <c r="B8" s="5" t="inlineStr">
        <is>
          <t>96.00 %</t>
        </is>
      </c>
      <c r="C8" s="7" t="str">
        <f>IF(VALUE(LEFT(B8,FIND(" ",B8&amp;" ")-1))&gt;=95,"PASS","FAIL")</f>
        <v>PASS</v>
      </c>
    </row>
    <row r="9">
      <c r="A9" s="5" t="inlineStr">
        <is>
          <t>Total included site measurements</t>
        </is>
      </c>
      <c r="B9" s="5" t="inlineStr">
        <is>
          <t>825</t>
        </is>
      </c>
      <c r="C9" s="6" t="n"/>
    </row>
    <row r="10">
      <c r="A10" s="5" t="inlineStr">
        <is>
          <t>Failing site measurements</t>
        </is>
      </c>
      <c r="B10" s="5" t="inlineStr">
        <is>
          <t>33</t>
        </is>
      </c>
      <c r="C10" s="6" t="n"/>
    </row>
    <row r="12">
      <c r="A12" s="8" t="inlineStr">
        <is>
          <t>Lot disposition</t>
        </is>
      </c>
      <c r="B12" s="9" t="str">
        <f>IF(AND(C6="PASS",C7="PASS",C8="PASS"),"CONTINUE","HOLD")</f>
        <v>CONTINUE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2" topLeftCell="A3" activePane="bottomLeft" state="frozen"/>
      <selection pane="bottomLeft" activeCell="M6" sqref="M6"/>
    </sheetView>
  </sheetViews>
  <sheetFormatPr baseColWidth="8" defaultRowHeight="14.4"/>
  <cols>
    <col width="8" customWidth="1" style="40" min="1" max="2"/>
    <col width="9" customWidth="1" style="40" min="3" max="5"/>
    <col width="11" customWidth="1" style="40" min="6" max="6"/>
    <col width="9" customWidth="1" style="40" min="7" max="7"/>
    <col width="7" customWidth="1" style="40" min="8" max="8"/>
  </cols>
  <sheetData>
    <row r="1" ht="18" customHeight="1" s="40">
      <c r="A1" s="1" t="inlineStr">
        <is>
          <t>Per-Wafer Stats</t>
        </is>
      </c>
    </row>
    <row r="2">
      <c r="A2" s="42" t="inlineStr">
        <is>
          <t>Wafer</t>
        </is>
      </c>
      <c r="B2" s="42" t="inlineStr">
        <is>
          <t>n incl</t>
        </is>
      </c>
      <c r="C2" s="42" t="inlineStr">
        <is>
          <t>Mean</t>
        </is>
      </c>
      <c r="D2" s="42" t="inlineStr">
        <is>
          <t>Min</t>
        </is>
      </c>
      <c r="E2" s="42" t="inlineStr">
        <is>
          <t>Max</t>
        </is>
      </c>
      <c r="F2" s="42" t="inlineStr">
        <is>
          <t>WIW NU %</t>
        </is>
      </c>
      <c r="G2" s="42" t="inlineStr">
        <is>
          <t>Yield %</t>
        </is>
      </c>
      <c r="H2" s="42" t="inlineStr">
        <is>
          <t>Fails</t>
        </is>
      </c>
    </row>
    <row r="3">
      <c r="A3" s="10" t="inlineStr">
        <is>
          <t>W01</t>
        </is>
      </c>
      <c r="B3" s="11">
        <f>COUNTIF(Raw_Data!$E$3:$E$51,"Y")</f>
        <v>33</v>
      </c>
      <c r="C3" s="12">
        <f>ROUND(AVERAGE(Raw_Data!$F$3:$F$51),2)</f>
        <v>86.86</v>
      </c>
      <c r="D3" s="12">
        <f>ROUND(MIN(Raw_Data!$F$3:$F$51),2)</f>
        <v>83.72</v>
      </c>
      <c r="E3" s="12">
        <f>ROUND(MAX(Raw_Data!$F$3:$F$51),2)</f>
        <v>90.12</v>
      </c>
      <c r="F3" s="12">
        <f>ROUND((E3-D3)/(2*C3)*100,2)</f>
        <v>3.68</v>
      </c>
      <c r="G3" s="13">
        <f>ROUND(SUMPRODUCT((Raw_Data!$E$3:$E$51="Y")*(Raw_Data!$D$3:$D$51&gt;=80.75)*(Raw_Data!$D$3:$D$51&lt;=89.25))/B3*100,2)</f>
        <v>81.82</v>
      </c>
      <c r="H3" s="11">
        <f>B3-SUMPRODUCT((Raw_Data!$E$3:$E$51="Y")*(Raw_Data!$D$3:$D$51&gt;=80.75)*(Raw_Data!$D$3:$D$51&lt;=89.25))</f>
        <v>6</v>
      </c>
    </row>
    <row r="4">
      <c r="A4" s="14" t="inlineStr">
        <is>
          <t>W02</t>
        </is>
      </c>
      <c r="B4" s="15">
        <f>COUNTIF(Raw_Data!$E$52:$E$100,"Y")</f>
        <v>33</v>
      </c>
      <c r="C4" s="16">
        <f>ROUND(AVERAGE(Raw_Data!$F$52:$F$100),2)</f>
        <v>85.85</v>
      </c>
      <c r="D4" s="16">
        <f>ROUND(MIN(Raw_Data!$F$52:$F$100),2)</f>
        <v>82</v>
      </c>
      <c r="E4" s="16">
        <f>ROUND(MAX(Raw_Data!$F$52:$F$100),2)</f>
        <v>89.18</v>
      </c>
      <c r="F4" s="16">
        <f>ROUND((E4-D4)/(2*C4)*100,2)</f>
        <v>4.18</v>
      </c>
      <c r="G4" s="17">
        <f>ROUND(SUMPRODUCT((Raw_Data!$E$52:$E$100="Y")*(Raw_Data!$D$52:$D$100&gt;=80.75)*(Raw_Data!$D$52:$D$100&lt;=89.25))/B4*100,2)</f>
        <v>100</v>
      </c>
      <c r="H4" s="15">
        <f>B4-SUMPRODUCT((Raw_Data!$E$52:$E$100="Y")*(Raw_Data!$D$52:$D$100&gt;=80.75)*(Raw_Data!$D$52:$D$100&lt;=89.25))</f>
        <v>0</v>
      </c>
    </row>
    <row r="5">
      <c r="A5" s="14" t="inlineStr">
        <is>
          <t>W03</t>
        </is>
      </c>
      <c r="B5" s="15">
        <f>COUNTIF(Raw_Data!$E$101:$E$149,"Y")</f>
        <v>33</v>
      </c>
      <c r="C5" s="16">
        <f>ROUND(AVERAGE(Raw_Data!$F$101:$F$149),2)</f>
        <v>85.8</v>
      </c>
      <c r="D5" s="16">
        <f>ROUND(MIN(Raw_Data!$F$101:$F$149),2)</f>
        <v>81.66</v>
      </c>
      <c r="E5" s="16">
        <f>ROUND(MAX(Raw_Data!$F$101:$F$149),2)</f>
        <v>88.86</v>
      </c>
      <c r="F5" s="16">
        <f>ROUND((E5-D5)/(2*C5)*100,2)</f>
        <v>4.2</v>
      </c>
      <c r="G5" s="17">
        <f>ROUND(SUMPRODUCT((Raw_Data!$E$101:$E$149="Y")*(Raw_Data!$D$101:$D$149&gt;=80.75)*(Raw_Data!$D$101:$D$149&lt;=89.25))/B5*100,2)</f>
        <v>100</v>
      </c>
      <c r="H5" s="15">
        <f>B5-SUMPRODUCT((Raw_Data!$E$101:$E$149="Y")*(Raw_Data!$D$101:$D$149&gt;=80.75)*(Raw_Data!$D$101:$D$149&lt;=89.25))</f>
        <v>0</v>
      </c>
    </row>
    <row r="6">
      <c r="A6" s="14" t="inlineStr">
        <is>
          <t>W04</t>
        </is>
      </c>
      <c r="B6" s="15">
        <f>COUNTIF(Raw_Data!$E$150:$E$198,"Y")</f>
        <v>33</v>
      </c>
      <c r="C6" s="16">
        <f>ROUND(AVERAGE(Raw_Data!$F$150:$F$198),2)</f>
        <v>85.54</v>
      </c>
      <c r="D6" s="16">
        <f>ROUND(MIN(Raw_Data!$F$150:$F$198),2)</f>
        <v>82.15</v>
      </c>
      <c r="E6" s="16">
        <f>ROUND(MAX(Raw_Data!$F$150:$F$198),2)</f>
        <v>88.84</v>
      </c>
      <c r="F6" s="16">
        <f>ROUND((E6-D6)/(2*C6)*100,2)</f>
        <v>3.91</v>
      </c>
      <c r="G6" s="17">
        <f>ROUND(SUMPRODUCT((Raw_Data!$E$150:$E$198="Y")*(Raw_Data!$D$150:$D$198&gt;=80.75)*(Raw_Data!$D$150:$D$198&lt;=89.25))/B6*100,2)</f>
        <v>100</v>
      </c>
      <c r="H6" s="15">
        <f>B6-SUMPRODUCT((Raw_Data!$E$150:$E$198="Y")*(Raw_Data!$D$150:$D$198&gt;=80.75)*(Raw_Data!$D$150:$D$198&lt;=89.25))</f>
        <v>0</v>
      </c>
    </row>
    <row r="7">
      <c r="A7" s="14" t="inlineStr">
        <is>
          <t>W05</t>
        </is>
      </c>
      <c r="B7" s="15">
        <f>COUNTIF(Raw_Data!$E$199:$E$247,"Y")</f>
        <v>33</v>
      </c>
      <c r="C7" s="16">
        <f>ROUND(AVERAGE(Raw_Data!$F$199:$F$247),2)</f>
        <v>85.7</v>
      </c>
      <c r="D7" s="16">
        <f>ROUND(MIN(Raw_Data!$F$199:$F$247),2)</f>
        <v>81.57</v>
      </c>
      <c r="E7" s="16">
        <f>ROUND(MAX(Raw_Data!$F$199:$F$247),2)</f>
        <v>88.94</v>
      </c>
      <c r="F7" s="16">
        <f>ROUND((E7-D7)/(2*C7)*100,2)</f>
        <v>4.3</v>
      </c>
      <c r="G7" s="17">
        <f>ROUND(SUMPRODUCT((Raw_Data!$E$199:$E$247="Y")*(Raw_Data!$D$199:$D$247&gt;=80.75)*(Raw_Data!$D$199:$D$247&lt;=89.25))/B7*100,2)</f>
        <v>100</v>
      </c>
      <c r="H7" s="15">
        <f>B7-SUMPRODUCT((Raw_Data!$E$199:$E$247="Y")*(Raw_Data!$D$199:$D$247&gt;=80.75)*(Raw_Data!$D$199:$D$247&lt;=89.25))</f>
        <v>0</v>
      </c>
    </row>
    <row r="8">
      <c r="A8" s="14" t="inlineStr">
        <is>
          <t>W06</t>
        </is>
      </c>
      <c r="B8" s="15">
        <f>COUNTIF(Raw_Data!$E$248:$E$296,"Y")</f>
        <v>33</v>
      </c>
      <c r="C8" s="16">
        <f>ROUND(AVERAGE(Raw_Data!$F$248:$F$296),2)</f>
        <v>85.13</v>
      </c>
      <c r="D8" s="16">
        <f>ROUND(MIN(Raw_Data!$F$248:$F$296),2)</f>
        <v>81.36</v>
      </c>
      <c r="E8" s="16">
        <f>ROUND(MAX(Raw_Data!$F$248:$F$296),2)</f>
        <v>88.01</v>
      </c>
      <c r="F8" s="16">
        <f>ROUND((E8-D8)/(2*C8)*100,2)</f>
        <v>3.91</v>
      </c>
      <c r="G8" s="17">
        <f>ROUND(SUMPRODUCT((Raw_Data!$E$248:$E$296="Y")*(Raw_Data!$D$248:$D$296&gt;=80.75)*(Raw_Data!$D$248:$D$296&lt;=89.25))/B8*100,2)</f>
        <v>100</v>
      </c>
      <c r="H8" s="15">
        <f>B8-SUMPRODUCT((Raw_Data!$E$248:$E$296="Y")*(Raw_Data!$D$248:$D$296&gt;=80.75)*(Raw_Data!$D$248:$D$296&lt;=89.25))</f>
        <v>0</v>
      </c>
    </row>
    <row r="9">
      <c r="A9" s="10" t="inlineStr">
        <is>
          <t>W07</t>
        </is>
      </c>
      <c r="B9" s="11">
        <f>COUNTIF(Raw_Data!$E$297:$E$345,"Y")</f>
        <v>33</v>
      </c>
      <c r="C9" s="12">
        <f>ROUND(AVERAGE(Raw_Data!$F$297:$F$345),2)</f>
        <v>86.91</v>
      </c>
      <c r="D9" s="12">
        <f>ROUND(MIN(Raw_Data!$F$297:$F$345),2)</f>
        <v>83.22</v>
      </c>
      <c r="E9" s="12">
        <f>ROUND(MAX(Raw_Data!$F$297:$F$345),2)</f>
        <v>90.32</v>
      </c>
      <c r="F9" s="12">
        <f>ROUND((E9-D9)/(2*C9)*100,2)</f>
        <v>4.08</v>
      </c>
      <c r="G9" s="13">
        <f>ROUND(SUMPRODUCT((Raw_Data!$E$297:$E$345="Y")*(Raw_Data!$D$297:$D$345&gt;=80.75)*(Raw_Data!$D$297:$D$345&lt;=89.25))/B9*100,2)</f>
        <v>75.76</v>
      </c>
      <c r="H9" s="11">
        <f>B9-SUMPRODUCT((Raw_Data!$E$297:$E$345="Y")*(Raw_Data!$D$297:$D$345&gt;=80.75)*(Raw_Data!$D$297:$D$345&lt;=89.25))</f>
        <v>8</v>
      </c>
    </row>
    <row r="10">
      <c r="A10" s="14" t="inlineStr">
        <is>
          <t>W08</t>
        </is>
      </c>
      <c r="B10" s="15">
        <f>COUNTIF(Raw_Data!$E$346:$E$394,"Y")</f>
        <v>33</v>
      </c>
      <c r="C10" s="16">
        <f>ROUND(AVERAGE(Raw_Data!$F$346:$F$394),2)</f>
        <v>85.76</v>
      </c>
      <c r="D10" s="16">
        <f>ROUND(MIN(Raw_Data!$F$346:$F$394),2)</f>
        <v>81.98</v>
      </c>
      <c r="E10" s="16">
        <f>ROUND(MAX(Raw_Data!$F$346:$F$394),2)</f>
        <v>89.16</v>
      </c>
      <c r="F10" s="16">
        <f>ROUND((E10-D10)/(2*C10)*100,2)</f>
        <v>4.19</v>
      </c>
      <c r="G10" s="17">
        <f>ROUND(SUMPRODUCT((Raw_Data!$E$346:$E$394="Y")*(Raw_Data!$D$346:$D$394&gt;=80.75)*(Raw_Data!$D$346:$D$394&lt;=89.25))/B10*100,2)</f>
        <v>100</v>
      </c>
      <c r="H10" s="15">
        <f>B10-SUMPRODUCT((Raw_Data!$E$346:$E$394="Y")*(Raw_Data!$D$346:$D$394&gt;=80.75)*(Raw_Data!$D$346:$D$394&lt;=89.25))</f>
        <v>0</v>
      </c>
    </row>
    <row r="11">
      <c r="A11" s="10" t="inlineStr">
        <is>
          <t>W09</t>
        </is>
      </c>
      <c r="B11" s="11">
        <f>COUNTIF(Raw_Data!$E$395:$E$443,"Y")</f>
        <v>33</v>
      </c>
      <c r="C11" s="12">
        <f>ROUND(AVERAGE(Raw_Data!$F$395:$F$443),2)</f>
        <v>84.72</v>
      </c>
      <c r="D11" s="12">
        <f>ROUND(MIN(Raw_Data!$F$395:$F$443),2)</f>
        <v>80.64</v>
      </c>
      <c r="E11" s="12">
        <f>ROUND(MAX(Raw_Data!$F$395:$F$443),2)</f>
        <v>87.9</v>
      </c>
      <c r="F11" s="12">
        <f>ROUND((E11-D11)/(2*C11)*100,2)</f>
        <v>4.28</v>
      </c>
      <c r="G11" s="13">
        <f>ROUND(SUMPRODUCT((Raw_Data!$E$395:$E$443="Y")*(Raw_Data!$D$395:$D$443&gt;=80.75)*(Raw_Data!$D$395:$D$443&lt;=89.25))/B11*100,2)</f>
        <v>96.97</v>
      </c>
      <c r="H11" s="11">
        <f>B11-SUMPRODUCT((Raw_Data!$E$395:$E$443="Y")*(Raw_Data!$D$395:$D$443&gt;=80.75)*(Raw_Data!$D$395:$D$443&lt;=89.25))</f>
        <v>1</v>
      </c>
    </row>
    <row r="12">
      <c r="A12" s="10" t="inlineStr">
        <is>
          <t>W10</t>
        </is>
      </c>
      <c r="B12" s="11">
        <f>COUNTIF(Raw_Data!$E$444:$E$492,"Y")</f>
        <v>33</v>
      </c>
      <c r="C12" s="12">
        <f>ROUND(AVERAGE(Raw_Data!$F$444:$F$492),2)</f>
        <v>86.35</v>
      </c>
      <c r="D12" s="12">
        <f>ROUND(MIN(Raw_Data!$F$444:$F$492),2)</f>
        <v>82.45</v>
      </c>
      <c r="E12" s="12">
        <f>ROUND(MAX(Raw_Data!$F$444:$F$492),2)</f>
        <v>89.53</v>
      </c>
      <c r="F12" s="12">
        <f>ROUND((E12-D12)/(2*C12)*100,2)</f>
        <v>4.1</v>
      </c>
      <c r="G12" s="13">
        <f>ROUND(SUMPRODUCT((Raw_Data!$E$444:$E$492="Y")*(Raw_Data!$D$444:$D$492&gt;=80.75)*(Raw_Data!$D$444:$D$492&lt;=89.25))/B12*100,2)</f>
        <v>87.88</v>
      </c>
      <c r="H12" s="11">
        <f>B12-SUMPRODUCT((Raw_Data!$E$444:$E$492="Y")*(Raw_Data!$D$444:$D$492&gt;=80.75)*(Raw_Data!$D$444:$D$492&lt;=89.25))</f>
        <v>4</v>
      </c>
    </row>
    <row r="13">
      <c r="A13" s="14" t="inlineStr">
        <is>
          <t>W11</t>
        </is>
      </c>
      <c r="B13" s="15">
        <f>COUNTIF(Raw_Data!$E$493:$E$541,"Y")</f>
        <v>33</v>
      </c>
      <c r="C13" s="16">
        <f>ROUND(AVERAGE(Raw_Data!$F$493:$F$541),2)</f>
        <v>85.19</v>
      </c>
      <c r="D13" s="16">
        <f>ROUND(MIN(Raw_Data!$F$493:$F$541),2)</f>
        <v>82.15</v>
      </c>
      <c r="E13" s="16">
        <f>ROUND(MAX(Raw_Data!$F$493:$F$541),2)</f>
        <v>88.35</v>
      </c>
      <c r="F13" s="16">
        <f>ROUND((E13-D13)/(2*C13)*100,2)</f>
        <v>3.64</v>
      </c>
      <c r="G13" s="17">
        <f>ROUND(SUMPRODUCT((Raw_Data!$E$493:$E$541="Y")*(Raw_Data!$D$493:$D$541&gt;=80.75)*(Raw_Data!$D$493:$D$541&lt;=89.25))/B13*100,2)</f>
        <v>100</v>
      </c>
      <c r="H13" s="15">
        <f>B13-SUMPRODUCT((Raw_Data!$E$493:$E$541="Y")*(Raw_Data!$D$493:$D$541&gt;=80.75)*(Raw_Data!$D$493:$D$541&lt;=89.25))</f>
        <v>0</v>
      </c>
    </row>
    <row r="14">
      <c r="A14" s="14" t="inlineStr">
        <is>
          <t>W12</t>
        </is>
      </c>
      <c r="B14" s="15">
        <f>COUNTIF(Raw_Data!$E$542:$E$590,"Y")</f>
        <v>33</v>
      </c>
      <c r="C14" s="16">
        <f>ROUND(AVERAGE(Raw_Data!$F$542:$F$590),2)</f>
        <v>85.32</v>
      </c>
      <c r="D14" s="16">
        <f>ROUND(MIN(Raw_Data!$F$542:$F$590),2)</f>
        <v>81.33</v>
      </c>
      <c r="E14" s="16">
        <f>ROUND(MAX(Raw_Data!$F$542:$F$590),2)</f>
        <v>88.42</v>
      </c>
      <c r="F14" s="16">
        <f>ROUND((E14-D14)/(2*C14)*100,2)</f>
        <v>4.15</v>
      </c>
      <c r="G14" s="17">
        <f>ROUND(SUMPRODUCT((Raw_Data!$E$542:$E$590="Y")*(Raw_Data!$D$542:$D$590&gt;=80.75)*(Raw_Data!$D$542:$D$590&lt;=89.25))/B14*100,2)</f>
        <v>100</v>
      </c>
      <c r="H14" s="15">
        <f>B14-SUMPRODUCT((Raw_Data!$E$542:$E$590="Y")*(Raw_Data!$D$542:$D$590&gt;=80.75)*(Raw_Data!$D$542:$D$590&lt;=89.25))</f>
        <v>0</v>
      </c>
    </row>
    <row r="15">
      <c r="A15" s="10" t="inlineStr">
        <is>
          <t>W13</t>
        </is>
      </c>
      <c r="B15" s="11">
        <f>COUNTIF(Raw_Data!$E$591:$E$639,"Y")</f>
        <v>33</v>
      </c>
      <c r="C15" s="12">
        <f>ROUND(AVERAGE(Raw_Data!$F$591:$F$639),2)</f>
        <v>86.98</v>
      </c>
      <c r="D15" s="12">
        <f>ROUND(MIN(Raw_Data!$F$591:$F$639),2)</f>
        <v>83.07</v>
      </c>
      <c r="E15" s="12">
        <f>ROUND(MAX(Raw_Data!$F$591:$F$639),2)</f>
        <v>90.46</v>
      </c>
      <c r="F15" s="12">
        <f>ROUND((E15-D15)/(2*C15)*100,2)</f>
        <v>4.25</v>
      </c>
      <c r="G15" s="13">
        <f>ROUND(SUMPRODUCT((Raw_Data!$E$591:$E$639="Y")*(Raw_Data!$D$591:$D$639&gt;=80.75)*(Raw_Data!$D$591:$D$639&lt;=89.25))/B15*100,2)</f>
        <v>78.79</v>
      </c>
      <c r="H15" s="11">
        <f>B15-SUMPRODUCT((Raw_Data!$E$591:$E$639="Y")*(Raw_Data!$D$591:$D$639&gt;=80.75)*(Raw_Data!$D$591:$D$639&lt;=89.25))</f>
        <v>7</v>
      </c>
    </row>
    <row r="16">
      <c r="A16" s="14" t="inlineStr">
        <is>
          <t>W14</t>
        </is>
      </c>
      <c r="B16" s="15">
        <f>COUNTIF(Raw_Data!$E$640:$E$688,"Y")</f>
        <v>33</v>
      </c>
      <c r="C16" s="16">
        <f>ROUND(AVERAGE(Raw_Data!$F$640:$F$688),2)</f>
        <v>85.89</v>
      </c>
      <c r="D16" s="16">
        <f>ROUND(MIN(Raw_Data!$F$640:$F$688),2)</f>
        <v>82.45</v>
      </c>
      <c r="E16" s="16">
        <f>ROUND(MAX(Raw_Data!$F$640:$F$688),2)</f>
        <v>89.15</v>
      </c>
      <c r="F16" s="16">
        <f>ROUND((E16-D16)/(2*C16)*100,2)</f>
        <v>3.9</v>
      </c>
      <c r="G16" s="17">
        <f>ROUND(SUMPRODUCT((Raw_Data!$E$640:$E$688="Y")*(Raw_Data!$D$640:$D$688&gt;=80.75)*(Raw_Data!$D$640:$D$688&lt;=89.25))/B16*100,2)</f>
        <v>100</v>
      </c>
      <c r="H16" s="15">
        <f>B16-SUMPRODUCT((Raw_Data!$E$640:$E$688="Y")*(Raw_Data!$D$640:$D$688&gt;=80.75)*(Raw_Data!$D$640:$D$688&lt;=89.25))</f>
        <v>0</v>
      </c>
    </row>
    <row r="17">
      <c r="A17" s="10" t="inlineStr">
        <is>
          <t>W15</t>
        </is>
      </c>
      <c r="B17" s="11">
        <f>COUNTIF(Raw_Data!$E$689:$E$737,"Y")</f>
        <v>33</v>
      </c>
      <c r="C17" s="12">
        <f>ROUND(AVERAGE(Raw_Data!$F$689:$F$737),2)</f>
        <v>84.46</v>
      </c>
      <c r="D17" s="12">
        <f>ROUND(MIN(Raw_Data!$F$689:$F$737),2)</f>
        <v>80.7</v>
      </c>
      <c r="E17" s="12">
        <f>ROUND(MAX(Raw_Data!$F$689:$F$737),2)</f>
        <v>87.76</v>
      </c>
      <c r="F17" s="12">
        <f>ROUND((E17-D17)/(2*C17)*100,2)</f>
        <v>4.18</v>
      </c>
      <c r="G17" s="13">
        <f>ROUND(SUMPRODUCT((Raw_Data!$E$689:$E$737="Y")*(Raw_Data!$D$689:$D$737&gt;=80.75)*(Raw_Data!$D$689:$D$737&lt;=89.25))/B17*100,2)</f>
        <v>96.97</v>
      </c>
      <c r="H17" s="11">
        <f>B17-SUMPRODUCT((Raw_Data!$E$689:$E$737="Y")*(Raw_Data!$D$689:$D$737&gt;=80.75)*(Raw_Data!$D$689:$D$737&lt;=89.25))</f>
        <v>1</v>
      </c>
    </row>
    <row r="18">
      <c r="A18" s="14" t="inlineStr">
        <is>
          <t>W16</t>
        </is>
      </c>
      <c r="B18" s="15">
        <f>COUNTIF(Raw_Data!$E$738:$E$786,"Y")</f>
        <v>33</v>
      </c>
      <c r="C18" s="16">
        <f>ROUND(AVERAGE(Raw_Data!$F$738:$F$786),2)</f>
        <v>85.36</v>
      </c>
      <c r="D18" s="16">
        <f>ROUND(MIN(Raw_Data!$F$738:$F$786),2)</f>
        <v>82.02</v>
      </c>
      <c r="E18" s="16">
        <f>ROUND(MAX(Raw_Data!$F$738:$F$786),2)</f>
        <v>88.58</v>
      </c>
      <c r="F18" s="16">
        <f>ROUND((E18-D18)/(2*C18)*100,2)</f>
        <v>3.84</v>
      </c>
      <c r="G18" s="17">
        <f>ROUND(SUMPRODUCT((Raw_Data!$E$738:$E$786="Y")*(Raw_Data!$D$738:$D$786&gt;=80.75)*(Raw_Data!$D$738:$D$786&lt;=89.25))/B18*100,2)</f>
        <v>100</v>
      </c>
      <c r="H18" s="15">
        <f>B18-SUMPRODUCT((Raw_Data!$E$738:$E$786="Y")*(Raw_Data!$D$738:$D$786&gt;=80.75)*(Raw_Data!$D$738:$D$786&lt;=89.25))</f>
        <v>0</v>
      </c>
    </row>
    <row r="19">
      <c r="A19" s="14" t="inlineStr">
        <is>
          <t>W17</t>
        </is>
      </c>
      <c r="B19" s="15">
        <f>COUNTIF(Raw_Data!$E$787:$E$835,"Y")</f>
        <v>33</v>
      </c>
      <c r="C19" s="16">
        <f>ROUND(AVERAGE(Raw_Data!$F$787:$F$835),2)</f>
        <v>85.83</v>
      </c>
      <c r="D19" s="16">
        <f>ROUND(MIN(Raw_Data!$F$787:$F$835),2)</f>
        <v>82.43</v>
      </c>
      <c r="E19" s="16">
        <f>ROUND(MAX(Raw_Data!$F$787:$F$835),2)</f>
        <v>89</v>
      </c>
      <c r="F19" s="16">
        <f>ROUND((E19-D19)/(2*C19)*100,2)</f>
        <v>3.83</v>
      </c>
      <c r="G19" s="17">
        <f>ROUND(SUMPRODUCT((Raw_Data!$E$787:$E$835="Y")*(Raw_Data!$D$787:$D$835&gt;=80.75)*(Raw_Data!$D$787:$D$835&lt;=89.25))/B19*100,2)</f>
        <v>100</v>
      </c>
      <c r="H19" s="15">
        <f>B19-SUMPRODUCT((Raw_Data!$E$787:$E$835="Y")*(Raw_Data!$D$787:$D$835&gt;=80.75)*(Raw_Data!$D$787:$D$835&lt;=89.25))</f>
        <v>0</v>
      </c>
    </row>
    <row r="20">
      <c r="A20" s="14" t="inlineStr">
        <is>
          <t>W18</t>
        </is>
      </c>
      <c r="B20" s="15">
        <f>COUNTIF(Raw_Data!$E$836:$E$884,"Y")</f>
        <v>33</v>
      </c>
      <c r="C20" s="16">
        <f>ROUND(AVERAGE(Raw_Data!$F$836:$F$884),2)</f>
        <v>85.32</v>
      </c>
      <c r="D20" s="16">
        <f>ROUND(MIN(Raw_Data!$F$836:$F$884),2)</f>
        <v>81.59</v>
      </c>
      <c r="E20" s="16">
        <f>ROUND(MAX(Raw_Data!$F$836:$F$884),2)</f>
        <v>88.58</v>
      </c>
      <c r="F20" s="16">
        <f>ROUND((E20-D20)/(2*C20)*100,2)</f>
        <v>4.1</v>
      </c>
      <c r="G20" s="17">
        <f>ROUND(SUMPRODUCT((Raw_Data!$E$836:$E$884="Y")*(Raw_Data!$D$836:$D$884&gt;=80.75)*(Raw_Data!$D$836:$D$884&lt;=89.25))/B20*100,2)</f>
        <v>100</v>
      </c>
      <c r="H20" s="15">
        <f>B20-SUMPRODUCT((Raw_Data!$E$836:$E$884="Y")*(Raw_Data!$D$836:$D$884&gt;=80.75)*(Raw_Data!$D$836:$D$884&lt;=89.25))</f>
        <v>0</v>
      </c>
    </row>
    <row r="21">
      <c r="A21" s="10" t="inlineStr">
        <is>
          <t>W19</t>
        </is>
      </c>
      <c r="B21" s="11">
        <f>COUNTIF(Raw_Data!$E$885:$E$933,"Y")</f>
        <v>33</v>
      </c>
      <c r="C21" s="12">
        <f>ROUND(AVERAGE(Raw_Data!$F$885:$F$933),2)</f>
        <v>84.1</v>
      </c>
      <c r="D21" s="12">
        <f>ROUND(MIN(Raw_Data!$F$885:$F$933),2)</f>
        <v>80.49</v>
      </c>
      <c r="E21" s="12">
        <f>ROUND(MAX(Raw_Data!$F$885:$F$933),2)</f>
        <v>87.44</v>
      </c>
      <c r="F21" s="12">
        <f>ROUND((E21-D21)/(2*C21)*100,2)</f>
        <v>4.13</v>
      </c>
      <c r="G21" s="13">
        <f>ROUND(SUMPRODUCT((Raw_Data!$E$885:$E$933="Y")*(Raw_Data!$D$885:$D$933&gt;=80.75)*(Raw_Data!$D$885:$D$933&lt;=89.25))/B21*100,2)</f>
        <v>96.97</v>
      </c>
      <c r="H21" s="11">
        <f>B21-SUMPRODUCT((Raw_Data!$E$885:$E$933="Y")*(Raw_Data!$D$885:$D$933&gt;=80.75)*(Raw_Data!$D$885:$D$933&lt;=89.25))</f>
        <v>1</v>
      </c>
    </row>
    <row r="22">
      <c r="A22" s="14" t="inlineStr">
        <is>
          <t>W20</t>
        </is>
      </c>
      <c r="B22" s="15">
        <f>COUNTIF(Raw_Data!$E$934:$E$982,"Y")</f>
        <v>33</v>
      </c>
      <c r="C22" s="16">
        <f>ROUND(AVERAGE(Raw_Data!$F$934:$F$982),2)</f>
        <v>84.56</v>
      </c>
      <c r="D22" s="16">
        <f>ROUND(MIN(Raw_Data!$F$934:$F$982),2)</f>
        <v>81.53</v>
      </c>
      <c r="E22" s="16">
        <f>ROUND(MAX(Raw_Data!$F$934:$F$982),2)</f>
        <v>87.76</v>
      </c>
      <c r="F22" s="16">
        <f>ROUND((E22-D22)/(2*C22)*100,2)</f>
        <v>3.68</v>
      </c>
      <c r="G22" s="17">
        <f>ROUND(SUMPRODUCT((Raw_Data!$E$934:$E$982="Y")*(Raw_Data!$D$934:$D$982&gt;=80.75)*(Raw_Data!$D$934:$D$982&lt;=89.25))/B22*100,2)</f>
        <v>100</v>
      </c>
      <c r="H22" s="15">
        <f>B22-SUMPRODUCT((Raw_Data!$E$934:$E$982="Y")*(Raw_Data!$D$934:$D$982&gt;=80.75)*(Raw_Data!$D$934:$D$982&lt;=89.25))</f>
        <v>0</v>
      </c>
    </row>
    <row r="23">
      <c r="A23" s="14" t="inlineStr">
        <is>
          <t>W21</t>
        </is>
      </c>
      <c r="B23" s="15">
        <f>COUNTIF(Raw_Data!$E$983:$E$1031,"Y")</f>
        <v>33</v>
      </c>
      <c r="C23" s="16">
        <f>ROUND(AVERAGE(Raw_Data!$F$983:$F$1031),2)</f>
        <v>85.9</v>
      </c>
      <c r="D23" s="16">
        <f>ROUND(MIN(Raw_Data!$F$983:$F$1031),2)</f>
        <v>82.93</v>
      </c>
      <c r="E23" s="16">
        <f>ROUND(MAX(Raw_Data!$F$983:$F$1031),2)</f>
        <v>89.05</v>
      </c>
      <c r="F23" s="16">
        <f>ROUND((E23-D23)/(2*C23)*100,2)</f>
        <v>3.56</v>
      </c>
      <c r="G23" s="17">
        <f>ROUND(SUMPRODUCT((Raw_Data!$E$983:$E$1031="Y")*(Raw_Data!$D$983:$D$1031&gt;=80.75)*(Raw_Data!$D$983:$D$1031&lt;=89.25))/B23*100,2)</f>
        <v>100</v>
      </c>
      <c r="H23" s="15">
        <f>B23-SUMPRODUCT((Raw_Data!$E$983:$E$1031="Y")*(Raw_Data!$D$983:$D$1031&gt;=80.75)*(Raw_Data!$D$983:$D$1031&lt;=89.25))</f>
        <v>0</v>
      </c>
    </row>
    <row r="24">
      <c r="A24" s="14" t="inlineStr">
        <is>
          <t>W22</t>
        </is>
      </c>
      <c r="B24" s="15">
        <f>COUNTIF(Raw_Data!$E$1032:$E$1080,"Y")</f>
        <v>33</v>
      </c>
      <c r="C24" s="16">
        <f>ROUND(AVERAGE(Raw_Data!$F$1032:$F$1080),2)</f>
        <v>84.52</v>
      </c>
      <c r="D24" s="16">
        <f>ROUND(MIN(Raw_Data!$F$1032:$F$1080),2)</f>
        <v>80.95</v>
      </c>
      <c r="E24" s="16">
        <f>ROUND(MAX(Raw_Data!$F$1032:$F$1080),2)</f>
        <v>87.8</v>
      </c>
      <c r="F24" s="16">
        <f>ROUND((E24-D24)/(2*C24)*100,2)</f>
        <v>4.05</v>
      </c>
      <c r="G24" s="17">
        <f>ROUND(SUMPRODUCT((Raw_Data!$E$1032:$E$1080="Y")*(Raw_Data!$D$1032:$D$1080&gt;=80.75)*(Raw_Data!$D$1032:$D$1080&lt;=89.25))/B24*100,2)</f>
        <v>100</v>
      </c>
      <c r="H24" s="15">
        <f>B24-SUMPRODUCT((Raw_Data!$E$1032:$E$1080="Y")*(Raw_Data!$D$1032:$D$1080&gt;=80.75)*(Raw_Data!$D$1032:$D$1080&lt;=89.25))</f>
        <v>0</v>
      </c>
    </row>
    <row r="25">
      <c r="A25" s="14" t="inlineStr">
        <is>
          <t>W23</t>
        </is>
      </c>
      <c r="B25" s="15">
        <f>COUNTIF(Raw_Data!$E$1081:$E$1129,"Y")</f>
        <v>33</v>
      </c>
      <c r="C25" s="16">
        <f>ROUND(AVERAGE(Raw_Data!$F$1081:$F$1129),2)</f>
        <v>85.67</v>
      </c>
      <c r="D25" s="16">
        <f>ROUND(MIN(Raw_Data!$F$1081:$F$1129),2)</f>
        <v>81.84</v>
      </c>
      <c r="E25" s="16">
        <f>ROUND(MAX(Raw_Data!$F$1081:$F$1129),2)</f>
        <v>89.04</v>
      </c>
      <c r="F25" s="16">
        <f>ROUND((E25-D25)/(2*C25)*100,2)</f>
        <v>4.2</v>
      </c>
      <c r="G25" s="17">
        <f>ROUND(SUMPRODUCT((Raw_Data!$E$1081:$E$1129="Y")*(Raw_Data!$D$1081:$D$1129&gt;=80.75)*(Raw_Data!$D$1081:$D$1129&lt;=89.25))/B25*100,2)</f>
        <v>100</v>
      </c>
      <c r="H25" s="15">
        <f>B25-SUMPRODUCT((Raw_Data!$E$1081:$E$1129="Y")*(Raw_Data!$D$1081:$D$1129&gt;=80.75)*(Raw_Data!$D$1081:$D$1129&lt;=89.25))</f>
        <v>0</v>
      </c>
    </row>
    <row r="26">
      <c r="A26" s="10" t="inlineStr">
        <is>
          <t>W24</t>
        </is>
      </c>
      <c r="B26" s="11">
        <f>COUNTIF(Raw_Data!$E$1130:$E$1178,"Y")</f>
        <v>33</v>
      </c>
      <c r="C26" s="12">
        <f>ROUND(AVERAGE(Raw_Data!$F$1130:$F$1178),2)</f>
        <v>86.87</v>
      </c>
      <c r="D26" s="12">
        <f>ROUND(MIN(Raw_Data!$F$1130:$F$1178),2)</f>
        <v>83.67</v>
      </c>
      <c r="E26" s="12">
        <f>ROUND(MAX(Raw_Data!$F$1130:$F$1178),2)</f>
        <v>89.95</v>
      </c>
      <c r="F26" s="12">
        <f>ROUND((E26-D26)/(2*C26)*100,2)</f>
        <v>3.61</v>
      </c>
      <c r="G26" s="13">
        <f>ROUND(SUMPRODUCT((Raw_Data!$E$1130:$E$1178="Y")*(Raw_Data!$D$1130:$D$1178&gt;=80.75)*(Raw_Data!$D$1130:$D$1178&lt;=89.25))/B26*100,2)</f>
        <v>84.85</v>
      </c>
      <c r="H26" s="11">
        <f>B26-SUMPRODUCT((Raw_Data!$E$1130:$E$1178="Y")*(Raw_Data!$D$1130:$D$1178&gt;=80.75)*(Raw_Data!$D$1130:$D$1178&lt;=89.25))</f>
        <v>5</v>
      </c>
    </row>
    <row r="27">
      <c r="A27" s="14" t="inlineStr">
        <is>
          <t>W25</t>
        </is>
      </c>
      <c r="B27" s="15">
        <f>COUNTIF(Raw_Data!$E$1179:$E$1227,"Y")</f>
        <v>33</v>
      </c>
      <c r="C27" s="16">
        <f>ROUND(AVERAGE(Raw_Data!$F$1179:$F$1227),2)</f>
        <v>84.67</v>
      </c>
      <c r="D27" s="16">
        <f>ROUND(MIN(Raw_Data!$F$1179:$F$1227),2)</f>
        <v>81.23</v>
      </c>
      <c r="E27" s="16">
        <f>ROUND(MAX(Raw_Data!$F$1179:$F$1227),2)</f>
        <v>87.73</v>
      </c>
      <c r="F27" s="16">
        <f>ROUND((E27-D27)/(2*C27)*100,2)</f>
        <v>3.84</v>
      </c>
      <c r="G27" s="17">
        <f>ROUND(SUMPRODUCT((Raw_Data!$E$1179:$E$1227="Y")*(Raw_Data!$D$1179:$D$1227&gt;=80.75)*(Raw_Data!$D$1179:$D$1227&lt;=89.25))/B27*100,2)</f>
        <v>100</v>
      </c>
      <c r="H27" s="15">
        <f>B27-SUMPRODUCT((Raw_Data!$E$1179:$E$1227="Y")*(Raw_Data!$D$1179:$D$1227&gt;=80.75)*(Raw_Data!$D$1179:$D$1227&lt;=89.25))</f>
        <v>0</v>
      </c>
    </row>
    <row r="28">
      <c r="A28" s="18" t="inlineStr">
        <is>
          <t>LOT</t>
        </is>
      </c>
      <c r="B28" s="19" t="n"/>
      <c r="C28" s="20">
        <f>ROUND(AVERAGE(C3:C27),2)</f>
        <v>85.57</v>
      </c>
      <c r="D28" s="19" t="n"/>
      <c r="E28" s="19" t="n"/>
      <c r="F28" s="20">
        <f>ROUND(MAX(F3:F27),2)</f>
        <v>4.3</v>
      </c>
      <c r="G28" s="21">
        <f>ROUND((SUM(B3:B27)-SUM(H3:H27))/SUM(B3:B27)*100,2)</f>
        <v>96</v>
      </c>
      <c r="H28" s="1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selection activeCell="C5" sqref="C5"/>
    </sheetView>
  </sheetViews>
  <sheetFormatPr baseColWidth="8" defaultRowHeight="14.4"/>
  <cols>
    <col width="5.21875" customWidth="1" style="40" min="1" max="31"/>
  </cols>
  <sheetData>
    <row r="1" ht="18" customHeight="1" s="40">
      <c r="A1" s="43" t="inlineStr">
        <is>
          <t>Wafer Map - W01</t>
        </is>
      </c>
    </row>
    <row r="3" ht="22.05" customHeight="1" s="40"/>
    <row r="4" ht="22.05" customHeight="1" s="40"/>
    <row r="5" ht="22.05" customHeight="1" s="40">
      <c r="H5" s="22" t="inlineStr">
        <is>
          <t>EX</t>
        </is>
      </c>
      <c r="J5" s="22" t="inlineStr">
        <is>
          <t>EX</t>
        </is>
      </c>
    </row>
    <row r="6" ht="22.05" customHeight="1" s="40">
      <c r="F6" s="22" t="inlineStr">
        <is>
          <t>EX</t>
        </is>
      </c>
      <c r="I6" s="23" t="inlineStr">
        <is>
          <t>89.8</t>
        </is>
      </c>
      <c r="L6" s="22" t="inlineStr">
        <is>
          <t>EX</t>
        </is>
      </c>
    </row>
    <row r="7" ht="22.05" customHeight="1" s="40">
      <c r="G7" s="23" t="inlineStr">
        <is>
          <t>89.5</t>
        </is>
      </c>
      <c r="K7" s="23" t="inlineStr">
        <is>
          <t>90.1</t>
        </is>
      </c>
    </row>
    <row r="8" ht="22.05" customHeight="1" s="40">
      <c r="D8" s="22" t="inlineStr">
        <is>
          <t>EX</t>
        </is>
      </c>
      <c r="H8" s="24" t="inlineStr">
        <is>
          <t>86.1</t>
        </is>
      </c>
      <c r="J8" s="24" t="inlineStr">
        <is>
          <t>86.2</t>
        </is>
      </c>
      <c r="N8" s="22" t="inlineStr">
        <is>
          <t>EX</t>
        </is>
      </c>
    </row>
    <row r="9" ht="22.05" customHeight="1" s="40">
      <c r="E9" s="23" t="inlineStr">
        <is>
          <t>90.1</t>
        </is>
      </c>
      <c r="G9" s="24" t="inlineStr">
        <is>
          <t>86.9</t>
        </is>
      </c>
      <c r="I9" s="24" t="inlineStr">
        <is>
          <t>84.7</t>
        </is>
      </c>
      <c r="K9" s="24" t="inlineStr">
        <is>
          <t>86.8</t>
        </is>
      </c>
      <c r="M9" s="25" t="inlineStr">
        <is>
          <t>88.9</t>
        </is>
      </c>
    </row>
    <row r="10" ht="22.05" customHeight="1" s="40">
      <c r="C10" s="22" t="inlineStr">
        <is>
          <t>EX</t>
        </is>
      </c>
      <c r="F10" s="24" t="inlineStr">
        <is>
          <t>86.6</t>
        </is>
      </c>
      <c r="H10" s="24" t="inlineStr">
        <is>
          <t>83.9</t>
        </is>
      </c>
      <c r="J10" s="24" t="inlineStr">
        <is>
          <t>84.5</t>
        </is>
      </c>
      <c r="L10" s="24" t="inlineStr">
        <is>
          <t>85.6</t>
        </is>
      </c>
      <c r="O10" s="22" t="inlineStr">
        <is>
          <t>EX</t>
        </is>
      </c>
    </row>
    <row r="11" ht="22.05" customHeight="1" s="40">
      <c r="D11" s="25" t="inlineStr">
        <is>
          <t>89.2</t>
        </is>
      </c>
      <c r="G11" s="24" t="inlineStr">
        <is>
          <t>83.7</t>
        </is>
      </c>
      <c r="I11" s="24" t="inlineStr">
        <is>
          <t>84.1</t>
        </is>
      </c>
      <c r="K11" s="24" t="inlineStr">
        <is>
          <t>84.9</t>
        </is>
      </c>
      <c r="N11" s="25" t="inlineStr">
        <is>
          <t>89.0</t>
        </is>
      </c>
    </row>
    <row r="12" ht="22.05" customHeight="1" s="40">
      <c r="C12" s="22" t="inlineStr">
        <is>
          <t>EX</t>
        </is>
      </c>
      <c r="F12" s="24" t="inlineStr">
        <is>
          <t>85.5</t>
        </is>
      </c>
      <c r="H12" s="24" t="inlineStr">
        <is>
          <t>84.8</t>
        </is>
      </c>
      <c r="J12" s="24" t="inlineStr">
        <is>
          <t>84.3</t>
        </is>
      </c>
      <c r="L12" s="24" t="inlineStr">
        <is>
          <t>86.6</t>
        </is>
      </c>
      <c r="O12" s="22" t="inlineStr">
        <is>
          <t>EX</t>
        </is>
      </c>
    </row>
    <row r="13" ht="22.05" customHeight="1" s="40">
      <c r="E13" s="25" t="inlineStr">
        <is>
          <t>88.7</t>
        </is>
      </c>
      <c r="G13" s="24" t="inlineStr">
        <is>
          <t>85.7</t>
        </is>
      </c>
      <c r="I13" s="24" t="inlineStr">
        <is>
          <t>84.2</t>
        </is>
      </c>
      <c r="K13" s="24" t="inlineStr">
        <is>
          <t>85.6</t>
        </is>
      </c>
      <c r="M13" s="25" t="inlineStr">
        <is>
          <t>88.7</t>
        </is>
      </c>
    </row>
    <row r="14" ht="22.05" customHeight="1" s="40">
      <c r="D14" s="22" t="inlineStr">
        <is>
          <t>EX</t>
        </is>
      </c>
      <c r="H14" s="24" t="inlineStr">
        <is>
          <t>86.3</t>
        </is>
      </c>
      <c r="J14" s="24" t="inlineStr">
        <is>
          <t>86.3</t>
        </is>
      </c>
      <c r="N14" s="22" t="inlineStr">
        <is>
          <t>EX</t>
        </is>
      </c>
    </row>
    <row r="15" ht="22.05" customHeight="1" s="40">
      <c r="G15" s="25" t="inlineStr">
        <is>
          <t>89.0</t>
        </is>
      </c>
      <c r="K15" s="23" t="inlineStr">
        <is>
          <t>90.1</t>
        </is>
      </c>
    </row>
    <row r="16" ht="22.05" customHeight="1" s="40">
      <c r="F16" s="22" t="inlineStr">
        <is>
          <t>EX</t>
        </is>
      </c>
      <c r="I16" s="23" t="inlineStr">
        <is>
          <t>90.0</t>
        </is>
      </c>
      <c r="L16" s="22" t="inlineStr">
        <is>
          <t>EX</t>
        </is>
      </c>
    </row>
    <row r="17" ht="22.05" customHeight="1" s="40">
      <c r="H17" s="22" t="inlineStr">
        <is>
          <t>EX</t>
        </is>
      </c>
      <c r="J17" s="22" t="inlineStr">
        <is>
          <t>EX</t>
        </is>
      </c>
    </row>
    <row r="18" ht="22.05" customHeight="1" s="40"/>
    <row r="19">
      <c r="B19" s="41" t="inlineStr">
        <is>
          <t>W01 mean 86.86  WIW 3.68%  yield 81.8%</t>
        </is>
      </c>
    </row>
    <row r="20">
      <c r="B20" s="27" t="inlineStr">
        <is>
          <t>PASS</t>
        </is>
      </c>
    </row>
    <row r="21">
      <c r="B21" s="28" t="inlineStr">
        <is>
          <t>WARN</t>
        </is>
      </c>
    </row>
    <row r="22">
      <c r="B22" s="29" t="inlineStr">
        <is>
          <t>FAIL</t>
        </is>
      </c>
    </row>
    <row r="23">
      <c r="B23" s="30" t="inlineStr">
        <is>
          <t>EX (edge-excluded)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9"/>
  <sheetViews>
    <sheetView tabSelected="1" workbookViewId="0">
      <pane ySplit="2" topLeftCell="A3" activePane="bottomLeft" state="frozen"/>
      <selection pane="bottomLeft" activeCell="K12" sqref="K12"/>
    </sheetView>
  </sheetViews>
  <sheetFormatPr baseColWidth="8" defaultRowHeight="14.4"/>
  <cols>
    <col width="7" customWidth="1" style="40" min="1" max="1"/>
    <col width="9" customWidth="1" style="40" min="2" max="3"/>
    <col width="11" customWidth="1" style="40" min="4" max="5"/>
    <col width="10" customWidth="1" style="40" min="6" max="6"/>
    <col width="8" customWidth="1" style="40" min="7" max="7"/>
    <col width="9" customWidth="1" style="40" min="8" max="8"/>
    <col width="12" customWidth="1" style="40" min="9" max="9"/>
    <col width="10" customWidth="1" style="40" min="11" max="11"/>
    <col width="9" customWidth="1" style="40" min="12" max="12"/>
  </cols>
  <sheetData>
    <row r="1" ht="18" customHeight="1" s="40">
      <c r="A1" s="1" t="inlineStr">
        <is>
          <t>Site Detail - W01</t>
        </is>
      </c>
    </row>
    <row r="2">
      <c r="A2" s="42" t="inlineStr">
        <is>
          <t>Site</t>
        </is>
      </c>
      <c r="B2" s="42" t="inlineStr">
        <is>
          <t>x_mm</t>
        </is>
      </c>
      <c r="C2" s="42" t="inlineStr">
        <is>
          <t>y_mm</t>
        </is>
      </c>
      <c r="D2" s="42" t="inlineStr">
        <is>
          <t>Radius mm</t>
        </is>
      </c>
      <c r="E2" s="42" t="inlineStr">
        <is>
          <t>Rs ohm/sq</t>
        </is>
      </c>
      <c r="F2" s="42" t="inlineStr">
        <is>
          <t>Included</t>
        </is>
      </c>
      <c r="G2" s="42" t="inlineStr">
        <is>
          <t>Bin</t>
        </is>
      </c>
      <c r="H2" s="42" t="inlineStr">
        <is>
          <t>In spec</t>
        </is>
      </c>
      <c r="I2" s="42" t="inlineStr">
        <is>
          <t>Rs (incl only)</t>
        </is>
      </c>
      <c r="K2" s="2" t="inlineStr">
        <is>
          <t>constants</t>
        </is>
      </c>
    </row>
    <row r="3">
      <c r="A3" s="31" t="n">
        <v>1</v>
      </c>
      <c r="B3" s="16" t="n">
        <v>0</v>
      </c>
      <c r="C3" s="16" t="n">
        <v>0</v>
      </c>
      <c r="D3" s="16">
        <f>ROUND(SQRT(B3^2+C3^2),2)</f>
        <v>0</v>
      </c>
      <c r="E3" s="16" t="n">
        <v>84.09</v>
      </c>
      <c r="F3" s="31" t="str">
        <f>IF(D3&lt;=$L$7,"Y","N")</f>
        <v>Y</v>
      </c>
      <c r="G3" s="32" t="str">
        <f>IF(F3="N","-",IF(OR(E3&lt;$L$3,E3&gt;$L$4),"FAIL",IF(OR(E3&lt;$L$5,E3&gt;$L$6),"WARN","PASS")))</f>
        <v>PASS</v>
      </c>
      <c r="H3" s="31" t="str">
        <f>IF(F3="N","-",IF(AND(E3&gt;=$L$3,E3&lt;=$L$4),"Y","N"))</f>
        <v>Y</v>
      </c>
      <c r="I3" s="16">
        <f>IF(F3="Y",E3,"")</f>
        <v>84.09</v>
      </c>
      <c r="K3" s="33" t="inlineStr">
        <is>
          <t>LSL</t>
        </is>
      </c>
      <c r="L3" s="34" t="n">
        <v>80.75</v>
      </c>
    </row>
    <row r="4">
      <c r="A4" s="31" t="n">
        <v>2</v>
      </c>
      <c r="B4" s="16" t="n">
        <v>22</v>
      </c>
      <c r="C4" s="16" t="n">
        <v>0</v>
      </c>
      <c r="D4" s="16">
        <f>ROUND(SQRT(B4^2+C4^2),2)</f>
        <v>22</v>
      </c>
      <c r="E4" s="16" t="n">
        <v>84.93</v>
      </c>
      <c r="F4" s="31" t="str">
        <f>IF(D4&lt;=$L$7,"Y","N")</f>
        <v>Y</v>
      </c>
      <c r="G4" s="32" t="str">
        <f>IF(F4="N","-",IF(OR(E4&lt;$L$3,E4&gt;$L$4),"FAIL",IF(OR(E4&lt;$L$5,E4&gt;$L$6),"WARN","PASS")))</f>
        <v>PASS</v>
      </c>
      <c r="H4" s="31" t="str">
        <f>IF(F4="N","-",IF(AND(E4&gt;=$L$3,E4&lt;=$L$4),"Y","N"))</f>
        <v>Y</v>
      </c>
      <c r="I4" s="16">
        <f>IF(F4="Y",E4,"")</f>
        <v>84.93</v>
      </c>
      <c r="K4" s="33" t="inlineStr">
        <is>
          <t>USL</t>
        </is>
      </c>
      <c r="L4" s="34" t="n">
        <v>89.25</v>
      </c>
    </row>
    <row r="5">
      <c r="A5" s="31" t="n">
        <v>3</v>
      </c>
      <c r="B5" s="16" t="n">
        <v>15.56</v>
      </c>
      <c r="C5" s="16" t="n">
        <v>15.56</v>
      </c>
      <c r="D5" s="16">
        <f>ROUND(SQRT(B5^2+C5^2),2)</f>
        <v>22.01</v>
      </c>
      <c r="E5" s="16" t="n">
        <v>84.53</v>
      </c>
      <c r="F5" s="31" t="str">
        <f>IF(D5&lt;=$L$7,"Y","N")</f>
        <v>Y</v>
      </c>
      <c r="G5" s="32" t="str">
        <f>IF(F5="N","-",IF(OR(E5&lt;$L$3,E5&gt;$L$4),"FAIL",IF(OR(E5&lt;$L$5,E5&gt;$L$6),"WARN","PASS")))</f>
        <v>PASS</v>
      </c>
      <c r="H5" s="31" t="str">
        <f>IF(F5="N","-",IF(AND(E5&gt;=$L$3,E5&lt;=$L$4),"Y","N"))</f>
        <v>Y</v>
      </c>
      <c r="I5" s="16">
        <f>IF(F5="Y",E5,"")</f>
        <v>84.53</v>
      </c>
      <c r="K5" s="33" t="inlineStr">
        <is>
          <t>warn_lo</t>
        </is>
      </c>
      <c r="L5" s="34" t="n">
        <v>82.45</v>
      </c>
    </row>
    <row r="6">
      <c r="A6" s="31" t="n">
        <v>4</v>
      </c>
      <c r="B6" s="16" t="n">
        <v>0</v>
      </c>
      <c r="C6" s="16" t="n">
        <v>22</v>
      </c>
      <c r="D6" s="16">
        <f>ROUND(SQRT(B6^2+C6^2),2)</f>
        <v>22</v>
      </c>
      <c r="E6" s="16" t="n">
        <v>84.66</v>
      </c>
      <c r="F6" s="31" t="str">
        <f>IF(D6&lt;=$L$7,"Y","N")</f>
        <v>Y</v>
      </c>
      <c r="G6" s="32" t="str">
        <f>IF(F6="N","-",IF(OR(E6&lt;$L$3,E6&gt;$L$4),"FAIL",IF(OR(E6&lt;$L$5,E6&gt;$L$6),"WARN","PASS")))</f>
        <v>PASS</v>
      </c>
      <c r="H6" s="31" t="str">
        <f>IF(F6="N","-",IF(AND(E6&gt;=$L$3,E6&lt;=$L$4),"Y","N"))</f>
        <v>Y</v>
      </c>
      <c r="I6" s="16">
        <f>IF(F6="Y",E6,"")</f>
        <v>84.66</v>
      </c>
      <c r="K6" s="33" t="inlineStr">
        <is>
          <t>warn_hi</t>
        </is>
      </c>
      <c r="L6" s="34" t="n">
        <v>87.55</v>
      </c>
    </row>
    <row r="7">
      <c r="A7" s="31" t="n">
        <v>5</v>
      </c>
      <c r="B7" s="16" t="n">
        <v>-15.56</v>
      </c>
      <c r="C7" s="16" t="n">
        <v>15.56</v>
      </c>
      <c r="D7" s="16">
        <f>ROUND(SQRT(B7^2+C7^2),2)</f>
        <v>22.01</v>
      </c>
      <c r="E7" s="16" t="n">
        <v>83.88</v>
      </c>
      <c r="F7" s="31" t="str">
        <f>IF(D7&lt;=$L$7,"Y","N")</f>
        <v>Y</v>
      </c>
      <c r="G7" s="32" t="str">
        <f>IF(F7="N","-",IF(OR(E7&lt;$L$3,E7&gt;$L$4),"FAIL",IF(OR(E7&lt;$L$5,E7&gt;$L$6),"WARN","PASS")))</f>
        <v>PASS</v>
      </c>
      <c r="H7" s="31" t="str">
        <f>IF(F7="N","-",IF(AND(E7&gt;=$L$3,E7&lt;=$L$4),"Y","N"))</f>
        <v>Y</v>
      </c>
      <c r="I7" s="16">
        <f>IF(F7="Y",E7,"")</f>
        <v>83.88</v>
      </c>
      <c r="K7" s="33" t="inlineStr">
        <is>
          <t>excl_r</t>
        </is>
      </c>
      <c r="L7" s="34" t="n">
        <v>72</v>
      </c>
    </row>
    <row r="8">
      <c r="A8" s="31" t="n">
        <v>6</v>
      </c>
      <c r="B8" s="16" t="n">
        <v>-22</v>
      </c>
      <c r="C8" s="16" t="n">
        <v>0</v>
      </c>
      <c r="D8" s="16">
        <f>ROUND(SQRT(B8^2+C8^2),2)</f>
        <v>22</v>
      </c>
      <c r="E8" s="16" t="n">
        <v>83.72</v>
      </c>
      <c r="F8" s="31" t="str">
        <f>IF(D8&lt;=$L$7,"Y","N")</f>
        <v>Y</v>
      </c>
      <c r="G8" s="32" t="str">
        <f>IF(F8="N","-",IF(OR(E8&lt;$L$3,E8&gt;$L$4),"FAIL",IF(OR(E8&lt;$L$5,E8&gt;$L$6),"WARN","PASS")))</f>
        <v>PASS</v>
      </c>
      <c r="H8" s="31" t="str">
        <f>IF(F8="N","-",IF(AND(E8&gt;=$L$3,E8&lt;=$L$4),"Y","N"))</f>
        <v>Y</v>
      </c>
      <c r="I8" s="16">
        <f>IF(F8="Y",E8,"")</f>
        <v>83.72</v>
      </c>
    </row>
    <row r="9">
      <c r="A9" s="31" t="n">
        <v>7</v>
      </c>
      <c r="B9" s="16" t="n">
        <v>-15.56</v>
      </c>
      <c r="C9" s="16" t="n">
        <v>-15.56</v>
      </c>
      <c r="D9" s="16">
        <f>ROUND(SQRT(B9^2+C9^2),2)</f>
        <v>22.01</v>
      </c>
      <c r="E9" s="16" t="n">
        <v>84.78</v>
      </c>
      <c r="F9" s="31" t="str">
        <f>IF(D9&lt;=$L$7,"Y","N")</f>
        <v>Y</v>
      </c>
      <c r="G9" s="32" t="str">
        <f>IF(F9="N","-",IF(OR(E9&lt;$L$3,E9&gt;$L$4),"FAIL",IF(OR(E9&lt;$L$5,E9&gt;$L$6),"WARN","PASS")))</f>
        <v>PASS</v>
      </c>
      <c r="H9" s="31" t="str">
        <f>IF(F9="N","-",IF(AND(E9&gt;=$L$3,E9&lt;=$L$4),"Y","N"))</f>
        <v>Y</v>
      </c>
      <c r="I9" s="16">
        <f>IF(F9="Y",E9,"")</f>
        <v>84.78</v>
      </c>
    </row>
    <row r="10">
      <c r="A10" s="31" t="n">
        <v>8</v>
      </c>
      <c r="B10" s="16" t="n">
        <v>0</v>
      </c>
      <c r="C10" s="16" t="n">
        <v>-22</v>
      </c>
      <c r="D10" s="16">
        <f>ROUND(SQRT(B10^2+C10^2),2)</f>
        <v>22</v>
      </c>
      <c r="E10" s="16" t="n">
        <v>84.25</v>
      </c>
      <c r="F10" s="31" t="str">
        <f>IF(D10&lt;=$L$7,"Y","N")</f>
        <v>Y</v>
      </c>
      <c r="G10" s="32" t="str">
        <f>IF(F10="N","-",IF(OR(E10&lt;$L$3,E10&gt;$L$4),"FAIL",IF(OR(E10&lt;$L$5,E10&gt;$L$6),"WARN","PASS")))</f>
        <v>PASS</v>
      </c>
      <c r="H10" s="31" t="str">
        <f>IF(F10="N","-",IF(AND(E10&gt;=$L$3,E10&lt;=$L$4),"Y","N"))</f>
        <v>Y</v>
      </c>
      <c r="I10" s="16">
        <f>IF(F10="Y",E10,"")</f>
        <v>84.25</v>
      </c>
    </row>
    <row r="11">
      <c r="A11" s="31" t="n">
        <v>9</v>
      </c>
      <c r="B11" s="16" t="n">
        <v>15.56</v>
      </c>
      <c r="C11" s="16" t="n">
        <v>-15.56</v>
      </c>
      <c r="D11" s="16">
        <f>ROUND(SQRT(B11^2+C11^2),2)</f>
        <v>22.01</v>
      </c>
      <c r="E11" s="16" t="n">
        <v>84.31</v>
      </c>
      <c r="F11" s="31" t="str">
        <f>IF(D11&lt;=$L$7,"Y","N")</f>
        <v>Y</v>
      </c>
      <c r="G11" s="32" t="str">
        <f>IF(F11="N","-",IF(OR(E11&lt;$L$3,E11&gt;$L$4),"FAIL",IF(OR(E11&lt;$L$5,E11&gt;$L$6),"WARN","PASS")))</f>
        <v>PASS</v>
      </c>
      <c r="H11" s="31" t="str">
        <f>IF(F11="N","-",IF(AND(E11&gt;=$L$3,E11&lt;=$L$4),"Y","N"))</f>
        <v>Y</v>
      </c>
      <c r="I11" s="16">
        <f>IF(F11="Y",E11,"")</f>
        <v>84.31</v>
      </c>
    </row>
    <row r="12">
      <c r="A12" s="31" t="n">
        <v>10</v>
      </c>
      <c r="B12" s="16" t="n">
        <v>38.64</v>
      </c>
      <c r="C12" s="16" t="n">
        <v>10.35</v>
      </c>
      <c r="D12" s="16">
        <f>ROUND(SQRT(B12^2+C12^2),2)</f>
        <v>40</v>
      </c>
      <c r="E12" s="16" t="n">
        <v>85.63</v>
      </c>
      <c r="F12" s="31" t="str">
        <f>IF(D12&lt;=$L$7,"Y","N")</f>
        <v>Y</v>
      </c>
      <c r="G12" s="32" t="str">
        <f>IF(F12="N","-",IF(OR(E12&lt;$L$3,E12&gt;$L$4),"FAIL",IF(OR(E12&lt;$L$5,E12&gt;$L$6),"WARN","PASS")))</f>
        <v>PASS</v>
      </c>
      <c r="H12" s="31" t="str">
        <f>IF(F12="N","-",IF(AND(E12&gt;=$L$3,E12&lt;=$L$4),"Y","N"))</f>
        <v>Y</v>
      </c>
      <c r="I12" s="16">
        <f>IF(F12="Y",E12,"")</f>
        <v>85.63</v>
      </c>
    </row>
    <row r="13">
      <c r="A13" s="31" t="n">
        <v>11</v>
      </c>
      <c r="B13" s="16" t="n">
        <v>28.28</v>
      </c>
      <c r="C13" s="16" t="n">
        <v>28.28</v>
      </c>
      <c r="D13" s="16">
        <f>ROUND(SQRT(B13^2+C13^2),2)</f>
        <v>39.99</v>
      </c>
      <c r="E13" s="16" t="n">
        <v>86.84</v>
      </c>
      <c r="F13" s="31" t="str">
        <f>IF(D13&lt;=$L$7,"Y","N")</f>
        <v>Y</v>
      </c>
      <c r="G13" s="32" t="str">
        <f>IF(F13="N","-",IF(OR(E13&lt;$L$3,E13&gt;$L$4),"FAIL",IF(OR(E13&lt;$L$5,E13&gt;$L$6),"WARN","PASS")))</f>
        <v>PASS</v>
      </c>
      <c r="H13" s="31" t="str">
        <f>IF(F13="N","-",IF(AND(E13&gt;=$L$3,E13&lt;=$L$4),"Y","N"))</f>
        <v>Y</v>
      </c>
      <c r="I13" s="16">
        <f>IF(F13="Y",E13,"")</f>
        <v>86.84</v>
      </c>
    </row>
    <row r="14">
      <c r="A14" s="31" t="n">
        <v>12</v>
      </c>
      <c r="B14" s="16" t="n">
        <v>10.35</v>
      </c>
      <c r="C14" s="16" t="n">
        <v>38.64</v>
      </c>
      <c r="D14" s="16">
        <f>ROUND(SQRT(B14^2+C14^2),2)</f>
        <v>40</v>
      </c>
      <c r="E14" s="16" t="n">
        <v>86.22</v>
      </c>
      <c r="F14" s="31" t="str">
        <f>IF(D14&lt;=$L$7,"Y","N")</f>
        <v>Y</v>
      </c>
      <c r="G14" s="32" t="str">
        <f>IF(F14="N","-",IF(OR(E14&lt;$L$3,E14&gt;$L$4),"FAIL",IF(OR(E14&lt;$L$5,E14&gt;$L$6),"WARN","PASS")))</f>
        <v>PASS</v>
      </c>
      <c r="H14" s="31" t="str">
        <f>IF(F14="N","-",IF(AND(E14&gt;=$L$3,E14&lt;=$L$4),"Y","N"))</f>
        <v>Y</v>
      </c>
      <c r="I14" s="16">
        <f>IF(F14="Y",E14,"")</f>
        <v>86.22</v>
      </c>
    </row>
    <row r="15">
      <c r="A15" s="31" t="n">
        <v>13</v>
      </c>
      <c r="B15" s="16" t="n">
        <v>-10.35</v>
      </c>
      <c r="C15" s="16" t="n">
        <v>38.64</v>
      </c>
      <c r="D15" s="16">
        <f>ROUND(SQRT(B15^2+C15^2),2)</f>
        <v>40</v>
      </c>
      <c r="E15" s="16" t="n">
        <v>86.13</v>
      </c>
      <c r="F15" s="31" t="str">
        <f>IF(D15&lt;=$L$7,"Y","N")</f>
        <v>Y</v>
      </c>
      <c r="G15" s="32" t="str">
        <f>IF(F15="N","-",IF(OR(E15&lt;$L$3,E15&gt;$L$4),"FAIL",IF(OR(E15&lt;$L$5,E15&gt;$L$6),"WARN","PASS")))</f>
        <v>PASS</v>
      </c>
      <c r="H15" s="31" t="str">
        <f>IF(F15="N","-",IF(AND(E15&gt;=$L$3,E15&lt;=$L$4),"Y","N"))</f>
        <v>Y</v>
      </c>
      <c r="I15" s="16">
        <f>IF(F15="Y",E15,"")</f>
        <v>86.13</v>
      </c>
    </row>
    <row r="16">
      <c r="A16" s="31" t="n">
        <v>14</v>
      </c>
      <c r="B16" s="16" t="n">
        <v>-28.28</v>
      </c>
      <c r="C16" s="16" t="n">
        <v>28.28</v>
      </c>
      <c r="D16" s="16">
        <f>ROUND(SQRT(B16^2+C16^2),2)</f>
        <v>39.99</v>
      </c>
      <c r="E16" s="16" t="n">
        <v>86.87</v>
      </c>
      <c r="F16" s="31" t="str">
        <f>IF(D16&lt;=$L$7,"Y","N")</f>
        <v>Y</v>
      </c>
      <c r="G16" s="32" t="str">
        <f>IF(F16="N","-",IF(OR(E16&lt;$L$3,E16&gt;$L$4),"FAIL",IF(OR(E16&lt;$L$5,E16&gt;$L$6),"WARN","PASS")))</f>
        <v>PASS</v>
      </c>
      <c r="H16" s="31" t="str">
        <f>IF(F16="N","-",IF(AND(E16&gt;=$L$3,E16&lt;=$L$4),"Y","N"))</f>
        <v>Y</v>
      </c>
      <c r="I16" s="16">
        <f>IF(F16="Y",E16,"")</f>
        <v>86.87</v>
      </c>
    </row>
    <row r="17">
      <c r="A17" s="31" t="n">
        <v>15</v>
      </c>
      <c r="B17" s="16" t="n">
        <v>-38.64</v>
      </c>
      <c r="C17" s="16" t="n">
        <v>10.35</v>
      </c>
      <c r="D17" s="16">
        <f>ROUND(SQRT(B17^2+C17^2),2)</f>
        <v>40</v>
      </c>
      <c r="E17" s="16" t="n">
        <v>86.57</v>
      </c>
      <c r="F17" s="31" t="str">
        <f>IF(D17&lt;=$L$7,"Y","N")</f>
        <v>Y</v>
      </c>
      <c r="G17" s="32" t="str">
        <f>IF(F17="N","-",IF(OR(E17&lt;$L$3,E17&gt;$L$4),"FAIL",IF(OR(E17&lt;$L$5,E17&gt;$L$6),"WARN","PASS")))</f>
        <v>PASS</v>
      </c>
      <c r="H17" s="31" t="str">
        <f>IF(F17="N","-",IF(AND(E17&gt;=$L$3,E17&lt;=$L$4),"Y","N"))</f>
        <v>Y</v>
      </c>
      <c r="I17" s="16">
        <f>IF(F17="Y",E17,"")</f>
        <v>86.57</v>
      </c>
    </row>
    <row r="18">
      <c r="A18" s="31" t="n">
        <v>16</v>
      </c>
      <c r="B18" s="16" t="n">
        <v>-38.64</v>
      </c>
      <c r="C18" s="16" t="n">
        <v>-10.35</v>
      </c>
      <c r="D18" s="16">
        <f>ROUND(SQRT(B18^2+C18^2),2)</f>
        <v>40</v>
      </c>
      <c r="E18" s="16" t="n">
        <v>85.47</v>
      </c>
      <c r="F18" s="31" t="str">
        <f>IF(D18&lt;=$L$7,"Y","N")</f>
        <v>Y</v>
      </c>
      <c r="G18" s="32" t="str">
        <f>IF(F18="N","-",IF(OR(E18&lt;$L$3,E18&gt;$L$4),"FAIL",IF(OR(E18&lt;$L$5,E18&gt;$L$6),"WARN","PASS")))</f>
        <v>PASS</v>
      </c>
      <c r="H18" s="31" t="str">
        <f>IF(F18="N","-",IF(AND(E18&gt;=$L$3,E18&lt;=$L$4),"Y","N"))</f>
        <v>Y</v>
      </c>
      <c r="I18" s="16">
        <f>IF(F18="Y",E18,"")</f>
        <v>85.47</v>
      </c>
    </row>
    <row r="19">
      <c r="A19" s="31" t="n">
        <v>17</v>
      </c>
      <c r="B19" s="16" t="n">
        <v>-28.28</v>
      </c>
      <c r="C19" s="16" t="n">
        <v>-28.28</v>
      </c>
      <c r="D19" s="16">
        <f>ROUND(SQRT(B19^2+C19^2),2)</f>
        <v>39.99</v>
      </c>
      <c r="E19" s="16" t="n">
        <v>85.67</v>
      </c>
      <c r="F19" s="31" t="str">
        <f>IF(D19&lt;=$L$7,"Y","N")</f>
        <v>Y</v>
      </c>
      <c r="G19" s="32" t="str">
        <f>IF(F19="N","-",IF(OR(E19&lt;$L$3,E19&gt;$L$4),"FAIL",IF(OR(E19&lt;$L$5,E19&gt;$L$6),"WARN","PASS")))</f>
        <v>PASS</v>
      </c>
      <c r="H19" s="31" t="str">
        <f>IF(F19="N","-",IF(AND(E19&gt;=$L$3,E19&lt;=$L$4),"Y","N"))</f>
        <v>Y</v>
      </c>
      <c r="I19" s="16">
        <f>IF(F19="Y",E19,"")</f>
        <v>85.67</v>
      </c>
    </row>
    <row r="20">
      <c r="A20" s="31" t="n">
        <v>18</v>
      </c>
      <c r="B20" s="16" t="n">
        <v>-10.35</v>
      </c>
      <c r="C20" s="16" t="n">
        <v>-38.64</v>
      </c>
      <c r="D20" s="16">
        <f>ROUND(SQRT(B20^2+C20^2),2)</f>
        <v>40</v>
      </c>
      <c r="E20" s="16" t="n">
        <v>86.32</v>
      </c>
      <c r="F20" s="31" t="str">
        <f>IF(D20&lt;=$L$7,"Y","N")</f>
        <v>Y</v>
      </c>
      <c r="G20" s="32" t="str">
        <f>IF(F20="N","-",IF(OR(E20&lt;$L$3,E20&gt;$L$4),"FAIL",IF(OR(E20&lt;$L$5,E20&gt;$L$6),"WARN","PASS")))</f>
        <v>PASS</v>
      </c>
      <c r="H20" s="31" t="str">
        <f>IF(F20="N","-",IF(AND(E20&gt;=$L$3,E20&lt;=$L$4),"Y","N"))</f>
        <v>Y</v>
      </c>
      <c r="I20" s="16">
        <f>IF(F20="Y",E20,"")</f>
        <v>86.32</v>
      </c>
    </row>
    <row r="21">
      <c r="A21" s="31" t="n">
        <v>19</v>
      </c>
      <c r="B21" s="16" t="n">
        <v>10.35</v>
      </c>
      <c r="C21" s="16" t="n">
        <v>-38.64</v>
      </c>
      <c r="D21" s="16">
        <f>ROUND(SQRT(B21^2+C21^2),2)</f>
        <v>40</v>
      </c>
      <c r="E21" s="16" t="n">
        <v>86.35</v>
      </c>
      <c r="F21" s="31" t="str">
        <f>IF(D21&lt;=$L$7,"Y","N")</f>
        <v>Y</v>
      </c>
      <c r="G21" s="32" t="str">
        <f>IF(F21="N","-",IF(OR(E21&lt;$L$3,E21&gt;$L$4),"FAIL",IF(OR(E21&lt;$L$5,E21&gt;$L$6),"WARN","PASS")))</f>
        <v>PASS</v>
      </c>
      <c r="H21" s="31" t="str">
        <f>IF(F21="N","-",IF(AND(E21&gt;=$L$3,E21&lt;=$L$4),"Y","N"))</f>
        <v>Y</v>
      </c>
      <c r="I21" s="16">
        <f>IF(F21="Y",E21,"")</f>
        <v>86.35</v>
      </c>
    </row>
    <row r="22">
      <c r="A22" s="31" t="n">
        <v>20</v>
      </c>
      <c r="B22" s="16" t="n">
        <v>28.28</v>
      </c>
      <c r="C22" s="16" t="n">
        <v>-28.28</v>
      </c>
      <c r="D22" s="16">
        <f>ROUND(SQRT(B22^2+C22^2),2)</f>
        <v>39.99</v>
      </c>
      <c r="E22" s="16" t="n">
        <v>85.62</v>
      </c>
      <c r="F22" s="31" t="str">
        <f>IF(D22&lt;=$L$7,"Y","N")</f>
        <v>Y</v>
      </c>
      <c r="G22" s="32" t="str">
        <f>IF(F22="N","-",IF(OR(E22&lt;$L$3,E22&gt;$L$4),"FAIL",IF(OR(E22&lt;$L$5,E22&gt;$L$6),"WARN","PASS")))</f>
        <v>PASS</v>
      </c>
      <c r="H22" s="31" t="str">
        <f>IF(F22="N","-",IF(AND(E22&gt;=$L$3,E22&lt;=$L$4),"Y","N"))</f>
        <v>Y</v>
      </c>
      <c r="I22" s="16">
        <f>IF(F22="Y",E22,"")</f>
        <v>85.62</v>
      </c>
    </row>
    <row r="23">
      <c r="A23" s="31" t="n">
        <v>21</v>
      </c>
      <c r="B23" s="16" t="n">
        <v>38.64</v>
      </c>
      <c r="C23" s="16" t="n">
        <v>-10.35</v>
      </c>
      <c r="D23" s="16">
        <f>ROUND(SQRT(B23^2+C23^2),2)</f>
        <v>40</v>
      </c>
      <c r="E23" s="16" t="n">
        <v>86.62</v>
      </c>
      <c r="F23" s="31" t="str">
        <f>IF(D23&lt;=$L$7,"Y","N")</f>
        <v>Y</v>
      </c>
      <c r="G23" s="32" t="str">
        <f>IF(F23="N","-",IF(OR(E23&lt;$L$3,E23&gt;$L$4),"FAIL",IF(OR(E23&lt;$L$5,E23&gt;$L$6),"WARN","PASS")))</f>
        <v>PASS</v>
      </c>
      <c r="H23" s="31" t="str">
        <f>IF(F23="N","-",IF(AND(E23&gt;=$L$3,E23&lt;=$L$4),"Y","N"))</f>
        <v>Y</v>
      </c>
      <c r="I23" s="16">
        <f>IF(F23="Y",E23,"")</f>
        <v>86.62</v>
      </c>
    </row>
    <row r="24">
      <c r="A24" s="31" t="n">
        <v>22</v>
      </c>
      <c r="B24" s="16" t="n">
        <v>58</v>
      </c>
      <c r="C24" s="16" t="n">
        <v>0</v>
      </c>
      <c r="D24" s="16">
        <f>ROUND(SQRT(B24^2+C24^2),2)</f>
        <v>58</v>
      </c>
      <c r="E24" s="16" t="n">
        <v>89.05</v>
      </c>
      <c r="F24" s="31" t="str">
        <f>IF(D24&lt;=$L$7,"Y","N")</f>
        <v>Y</v>
      </c>
      <c r="G24" s="35" t="str">
        <f>IF(F24="N","-",IF(OR(E24&lt;$L$3,E24&gt;$L$4),"FAIL",IF(OR(E24&lt;$L$5,E24&gt;$L$6),"WARN","PASS")))</f>
        <v>WARN</v>
      </c>
      <c r="H24" s="31" t="str">
        <f>IF(F24="N","-",IF(AND(E24&gt;=$L$3,E24&lt;=$L$4),"Y","N"))</f>
        <v>Y</v>
      </c>
      <c r="I24" s="16">
        <f>IF(F24="Y",E24,"")</f>
        <v>89.05</v>
      </c>
    </row>
    <row r="25">
      <c r="A25" s="31" t="n">
        <v>23</v>
      </c>
      <c r="B25" s="16" t="n">
        <v>50.23</v>
      </c>
      <c r="C25" s="16" t="n">
        <v>29</v>
      </c>
      <c r="D25" s="16">
        <f>ROUND(SQRT(B25^2+C25^2),2)</f>
        <v>58</v>
      </c>
      <c r="E25" s="16" t="n">
        <v>88.92</v>
      </c>
      <c r="F25" s="31" t="str">
        <f>IF(D25&lt;=$L$7,"Y","N")</f>
        <v>Y</v>
      </c>
      <c r="G25" s="35" t="str">
        <f>IF(F25="N","-",IF(OR(E25&lt;$L$3,E25&gt;$L$4),"FAIL",IF(OR(E25&lt;$L$5,E25&gt;$L$6),"WARN","PASS")))</f>
        <v>WARN</v>
      </c>
      <c r="H25" s="31" t="str">
        <f>IF(F25="N","-",IF(AND(E25&gt;=$L$3,E25&lt;=$L$4),"Y","N"))</f>
        <v>Y</v>
      </c>
      <c r="I25" s="16">
        <f>IF(F25="Y",E25,"")</f>
        <v>88.92</v>
      </c>
    </row>
    <row r="26">
      <c r="A26" s="31" t="n">
        <v>24</v>
      </c>
      <c r="B26" s="16" t="n">
        <v>29</v>
      </c>
      <c r="C26" s="16" t="n">
        <v>50.23</v>
      </c>
      <c r="D26" s="16">
        <f>ROUND(SQRT(B26^2+C26^2),2)</f>
        <v>58</v>
      </c>
      <c r="E26" s="16" t="n">
        <v>90.07</v>
      </c>
      <c r="F26" s="31" t="str">
        <f>IF(D26&lt;=$L$7,"Y","N")</f>
        <v>Y</v>
      </c>
      <c r="G26" s="36" t="str">
        <f>IF(F26="N","-",IF(OR(E26&lt;$L$3,E26&gt;$L$4),"FAIL",IF(OR(E26&lt;$L$5,E26&gt;$L$6),"WARN","PASS")))</f>
        <v>FAIL</v>
      </c>
      <c r="H26" s="31" t="str">
        <f>IF(F26="N","-",IF(AND(E26&gt;=$L$3,E26&lt;=$L$4),"Y","N"))</f>
        <v>N</v>
      </c>
      <c r="I26" s="16">
        <f>IF(F26="Y",E26,"")</f>
        <v>90.07</v>
      </c>
    </row>
    <row r="27">
      <c r="A27" s="31" t="n">
        <v>25</v>
      </c>
      <c r="B27" s="16" t="n">
        <v>0</v>
      </c>
      <c r="C27" s="16" t="n">
        <v>58</v>
      </c>
      <c r="D27" s="16">
        <f>ROUND(SQRT(B27^2+C27^2),2)</f>
        <v>58</v>
      </c>
      <c r="E27" s="16" t="n">
        <v>89.85</v>
      </c>
      <c r="F27" s="31" t="str">
        <f>IF(D27&lt;=$L$7,"Y","N")</f>
        <v>Y</v>
      </c>
      <c r="G27" s="36" t="str">
        <f>IF(F27="N","-",IF(OR(E27&lt;$L$3,E27&gt;$L$4),"FAIL",IF(OR(E27&lt;$L$5,E27&gt;$L$6),"WARN","PASS")))</f>
        <v>FAIL</v>
      </c>
      <c r="H27" s="31" t="str">
        <f>IF(F27="N","-",IF(AND(E27&gt;=$L$3,E27&lt;=$L$4),"Y","N"))</f>
        <v>N</v>
      </c>
      <c r="I27" s="16">
        <f>IF(F27="Y",E27,"")</f>
        <v>89.85</v>
      </c>
    </row>
    <row r="28">
      <c r="A28" s="31" t="n">
        <v>26</v>
      </c>
      <c r="B28" s="16" t="n">
        <v>-29</v>
      </c>
      <c r="C28" s="16" t="n">
        <v>50.23</v>
      </c>
      <c r="D28" s="16">
        <f>ROUND(SQRT(B28^2+C28^2),2)</f>
        <v>58</v>
      </c>
      <c r="E28" s="16" t="n">
        <v>89.47</v>
      </c>
      <c r="F28" s="31" t="str">
        <f>IF(D28&lt;=$L$7,"Y","N")</f>
        <v>Y</v>
      </c>
      <c r="G28" s="36" t="str">
        <f>IF(F28="N","-",IF(OR(E28&lt;$L$3,E28&gt;$L$4),"FAIL",IF(OR(E28&lt;$L$5,E28&gt;$L$6),"WARN","PASS")))</f>
        <v>FAIL</v>
      </c>
      <c r="H28" s="31" t="str">
        <f>IF(F28="N","-",IF(AND(E28&gt;=$L$3,E28&lt;=$L$4),"Y","N"))</f>
        <v>N</v>
      </c>
      <c r="I28" s="16">
        <f>IF(F28="Y",E28,"")</f>
        <v>89.47</v>
      </c>
    </row>
    <row r="29">
      <c r="A29" s="31" t="n">
        <v>27</v>
      </c>
      <c r="B29" s="16" t="n">
        <v>-50.23</v>
      </c>
      <c r="C29" s="16" t="n">
        <v>29</v>
      </c>
      <c r="D29" s="16">
        <f>ROUND(SQRT(B29^2+C29^2),2)</f>
        <v>58</v>
      </c>
      <c r="E29" s="16" t="n">
        <v>90.12</v>
      </c>
      <c r="F29" s="31" t="str">
        <f>IF(D29&lt;=$L$7,"Y","N")</f>
        <v>Y</v>
      </c>
      <c r="G29" s="36" t="str">
        <f>IF(F29="N","-",IF(OR(E29&lt;$L$3,E29&gt;$L$4),"FAIL",IF(OR(E29&lt;$L$5,E29&gt;$L$6),"WARN","PASS")))</f>
        <v>FAIL</v>
      </c>
      <c r="H29" s="31" t="str">
        <f>IF(F29="N","-",IF(AND(E29&gt;=$L$3,E29&lt;=$L$4),"Y","N"))</f>
        <v>N</v>
      </c>
      <c r="I29" s="16">
        <f>IF(F29="Y",E29,"")</f>
        <v>90.12</v>
      </c>
    </row>
    <row r="30">
      <c r="A30" s="31" t="n">
        <v>28</v>
      </c>
      <c r="B30" s="16" t="n">
        <v>-58</v>
      </c>
      <c r="C30" s="16" t="n">
        <v>0</v>
      </c>
      <c r="D30" s="16">
        <f>ROUND(SQRT(B30^2+C30^2),2)</f>
        <v>58</v>
      </c>
      <c r="E30" s="16" t="n">
        <v>89.18</v>
      </c>
      <c r="F30" s="31" t="str">
        <f>IF(D30&lt;=$L$7,"Y","N")</f>
        <v>Y</v>
      </c>
      <c r="G30" s="35" t="str">
        <f>IF(F30="N","-",IF(OR(E30&lt;$L$3,E30&gt;$L$4),"FAIL",IF(OR(E30&lt;$L$5,E30&gt;$L$6),"WARN","PASS")))</f>
        <v>WARN</v>
      </c>
      <c r="H30" s="31" t="str">
        <f>IF(F30="N","-",IF(AND(E30&gt;=$L$3,E30&lt;=$L$4),"Y","N"))</f>
        <v>Y</v>
      </c>
      <c r="I30" s="16">
        <f>IF(F30="Y",E30,"")</f>
        <v>89.18</v>
      </c>
    </row>
    <row r="31">
      <c r="A31" s="31" t="n">
        <v>29</v>
      </c>
      <c r="B31" s="16" t="n">
        <v>-50.23</v>
      </c>
      <c r="C31" s="16" t="n">
        <v>-29</v>
      </c>
      <c r="D31" s="16">
        <f>ROUND(SQRT(B31^2+C31^2),2)</f>
        <v>58</v>
      </c>
      <c r="E31" s="16" t="n">
        <v>88.68</v>
      </c>
      <c r="F31" s="31" t="str">
        <f>IF(D31&lt;=$L$7,"Y","N")</f>
        <v>Y</v>
      </c>
      <c r="G31" s="35" t="str">
        <f>IF(F31="N","-",IF(OR(E31&lt;$L$3,E31&gt;$L$4),"FAIL",IF(OR(E31&lt;$L$5,E31&gt;$L$6),"WARN","PASS")))</f>
        <v>WARN</v>
      </c>
      <c r="H31" s="31" t="str">
        <f>IF(F31="N","-",IF(AND(E31&gt;=$L$3,E31&lt;=$L$4),"Y","N"))</f>
        <v>Y</v>
      </c>
      <c r="I31" s="16">
        <f>IF(F31="Y",E31,"")</f>
        <v>88.68</v>
      </c>
    </row>
    <row r="32">
      <c r="A32" s="31" t="n">
        <v>30</v>
      </c>
      <c r="B32" s="16" t="n">
        <v>-29</v>
      </c>
      <c r="C32" s="16" t="n">
        <v>-50.23</v>
      </c>
      <c r="D32" s="16">
        <f>ROUND(SQRT(B32^2+C32^2),2)</f>
        <v>58</v>
      </c>
      <c r="E32" s="16" t="n">
        <v>88.97</v>
      </c>
      <c r="F32" s="31" t="str">
        <f>IF(D32&lt;=$L$7,"Y","N")</f>
        <v>Y</v>
      </c>
      <c r="G32" s="35" t="str">
        <f>IF(F32="N","-",IF(OR(E32&lt;$L$3,E32&gt;$L$4),"FAIL",IF(OR(E32&lt;$L$5,E32&gt;$L$6),"WARN","PASS")))</f>
        <v>WARN</v>
      </c>
      <c r="H32" s="31" t="str">
        <f>IF(F32="N","-",IF(AND(E32&gt;=$L$3,E32&lt;=$L$4),"Y","N"))</f>
        <v>Y</v>
      </c>
      <c r="I32" s="16">
        <f>IF(F32="Y",E32,"")</f>
        <v>88.97</v>
      </c>
    </row>
    <row r="33">
      <c r="A33" s="31" t="n">
        <v>31</v>
      </c>
      <c r="B33" s="16" t="n">
        <v>0</v>
      </c>
      <c r="C33" s="16" t="n">
        <v>-58</v>
      </c>
      <c r="D33" s="16">
        <f>ROUND(SQRT(B33^2+C33^2),2)</f>
        <v>58</v>
      </c>
      <c r="E33" s="16" t="n">
        <v>89.99</v>
      </c>
      <c r="F33" s="31" t="str">
        <f>IF(D33&lt;=$L$7,"Y","N")</f>
        <v>Y</v>
      </c>
      <c r="G33" s="36" t="str">
        <f>IF(F33="N","-",IF(OR(E33&lt;$L$3,E33&gt;$L$4),"FAIL",IF(OR(E33&lt;$L$5,E33&gt;$L$6),"WARN","PASS")))</f>
        <v>FAIL</v>
      </c>
      <c r="H33" s="31" t="str">
        <f>IF(F33="N","-",IF(AND(E33&gt;=$L$3,E33&lt;=$L$4),"Y","N"))</f>
        <v>N</v>
      </c>
      <c r="I33" s="16">
        <f>IF(F33="Y",E33,"")</f>
        <v>89.99</v>
      </c>
    </row>
    <row r="34">
      <c r="A34" s="31" t="n">
        <v>32</v>
      </c>
      <c r="B34" s="16" t="n">
        <v>29</v>
      </c>
      <c r="C34" s="16" t="n">
        <v>-50.23</v>
      </c>
      <c r="D34" s="16">
        <f>ROUND(SQRT(B34^2+C34^2),2)</f>
        <v>58</v>
      </c>
      <c r="E34" s="16" t="n">
        <v>90.06</v>
      </c>
      <c r="F34" s="31" t="str">
        <f>IF(D34&lt;=$L$7,"Y","N")</f>
        <v>Y</v>
      </c>
      <c r="G34" s="36" t="str">
        <f>IF(F34="N","-",IF(OR(E34&lt;$L$3,E34&gt;$L$4),"FAIL",IF(OR(E34&lt;$L$5,E34&gt;$L$6),"WARN","PASS")))</f>
        <v>FAIL</v>
      </c>
      <c r="H34" s="31" t="str">
        <f>IF(F34="N","-",IF(AND(E34&gt;=$L$3,E34&lt;=$L$4),"Y","N"))</f>
        <v>N</v>
      </c>
      <c r="I34" s="16">
        <f>IF(F34="Y",E34,"")</f>
        <v>90.06</v>
      </c>
    </row>
    <row r="35">
      <c r="A35" s="31" t="n">
        <v>33</v>
      </c>
      <c r="B35" s="16" t="n">
        <v>50.23</v>
      </c>
      <c r="C35" s="16" t="n">
        <v>-29</v>
      </c>
      <c r="D35" s="16">
        <f>ROUND(SQRT(B35^2+C35^2),2)</f>
        <v>58</v>
      </c>
      <c r="E35" s="16" t="n">
        <v>88.66</v>
      </c>
      <c r="F35" s="31" t="str">
        <f>IF(D35&lt;=$L$7,"Y","N")</f>
        <v>Y</v>
      </c>
      <c r="G35" s="35" t="str">
        <f>IF(F35="N","-",IF(OR(E35&lt;$L$3,E35&gt;$L$4),"FAIL",IF(OR(E35&lt;$L$5,E35&gt;$L$6),"WARN","PASS")))</f>
        <v>WARN</v>
      </c>
      <c r="H35" s="31" t="str">
        <f>IF(F35="N","-",IF(AND(E35&gt;=$L$3,E35&lt;=$L$4),"Y","N"))</f>
        <v>Y</v>
      </c>
      <c r="I35" s="16">
        <f>IF(F35="Y",E35,"")</f>
        <v>88.66</v>
      </c>
    </row>
    <row r="36">
      <c r="A36" s="31" t="n">
        <v>34</v>
      </c>
      <c r="B36" s="16" t="n">
        <v>71.6</v>
      </c>
      <c r="C36" s="16" t="n">
        <v>14.24</v>
      </c>
      <c r="D36" s="16">
        <f>ROUND(SQRT(B36^2+C36^2),2)</f>
        <v>73</v>
      </c>
      <c r="E36" s="16" t="n">
        <v>92.03</v>
      </c>
      <c r="F36" s="31" t="str">
        <f>IF(D36&lt;=$L$7,"Y","N")</f>
        <v>N</v>
      </c>
      <c r="G36" s="37" t="str">
        <f>IF(F36="N","-",IF(OR(E36&lt;$L$3,E36&gt;$L$4),"FAIL",IF(OR(E36&lt;$L$5,E36&gt;$L$6),"WARN","PASS")))</f>
        <v>-</v>
      </c>
      <c r="H36" s="31" t="str">
        <f>IF(F36="N","-",IF(AND(E36&gt;=$L$3,E36&lt;=$L$4),"Y","N"))</f>
        <v>-</v>
      </c>
      <c r="I36" s="16">
        <f>IF(F36="Y",E36,"")</f>
        <v/>
      </c>
    </row>
    <row r="37">
      <c r="A37" s="31" t="n">
        <v>35</v>
      </c>
      <c r="B37" s="16" t="n">
        <v>60.7</v>
      </c>
      <c r="C37" s="16" t="n">
        <v>40.56</v>
      </c>
      <c r="D37" s="16">
        <f>ROUND(SQRT(B37^2+C37^2),2)</f>
        <v>73</v>
      </c>
      <c r="E37" s="16" t="n">
        <v>92.81</v>
      </c>
      <c r="F37" s="31" t="str">
        <f>IF(D37&lt;=$L$7,"Y","N")</f>
        <v>N</v>
      </c>
      <c r="G37" s="37" t="str">
        <f>IF(F37="N","-",IF(OR(E37&lt;$L$3,E37&gt;$L$4),"FAIL",IF(OR(E37&lt;$L$5,E37&gt;$L$6),"WARN","PASS")))</f>
        <v>-</v>
      </c>
      <c r="H37" s="31" t="str">
        <f>IF(F37="N","-",IF(AND(E37&gt;=$L$3,E37&lt;=$L$4),"Y","N"))</f>
        <v>-</v>
      </c>
      <c r="I37" s="16">
        <f>IF(F37="Y",E37,"")</f>
        <v/>
      </c>
    </row>
    <row r="38">
      <c r="A38" s="31" t="n">
        <v>36</v>
      </c>
      <c r="B38" s="16" t="n">
        <v>40.56</v>
      </c>
      <c r="C38" s="16" t="n">
        <v>60.7</v>
      </c>
      <c r="D38" s="16">
        <f>ROUND(SQRT(B38^2+C38^2),2)</f>
        <v>73</v>
      </c>
      <c r="E38" s="16" t="n">
        <v>92.18</v>
      </c>
      <c r="F38" s="31" t="str">
        <f>IF(D38&lt;=$L$7,"Y","N")</f>
        <v>N</v>
      </c>
      <c r="G38" s="37" t="str">
        <f>IF(F38="N","-",IF(OR(E38&lt;$L$3,E38&gt;$L$4),"FAIL",IF(OR(E38&lt;$L$5,E38&gt;$L$6),"WARN","PASS")))</f>
        <v>-</v>
      </c>
      <c r="H38" s="31" t="str">
        <f>IF(F38="N","-",IF(AND(E38&gt;=$L$3,E38&lt;=$L$4),"Y","N"))</f>
        <v>-</v>
      </c>
      <c r="I38" s="16">
        <f>IF(F38="Y",E38,"")</f>
        <v/>
      </c>
    </row>
    <row r="39">
      <c r="A39" s="31" t="n">
        <v>37</v>
      </c>
      <c r="B39" s="16" t="n">
        <v>14.24</v>
      </c>
      <c r="C39" s="16" t="n">
        <v>71.6</v>
      </c>
      <c r="D39" s="16">
        <f>ROUND(SQRT(B39^2+C39^2),2)</f>
        <v>73</v>
      </c>
      <c r="E39" s="16" t="n">
        <v>92.47</v>
      </c>
      <c r="F39" s="31" t="str">
        <f>IF(D39&lt;=$L$7,"Y","N")</f>
        <v>N</v>
      </c>
      <c r="G39" s="37" t="str">
        <f>IF(F39="N","-",IF(OR(E39&lt;$L$3,E39&gt;$L$4),"FAIL",IF(OR(E39&lt;$L$5,E39&gt;$L$6),"WARN","PASS")))</f>
        <v>-</v>
      </c>
      <c r="H39" s="31" t="str">
        <f>IF(F39="N","-",IF(AND(E39&gt;=$L$3,E39&lt;=$L$4),"Y","N"))</f>
        <v>-</v>
      </c>
      <c r="I39" s="16">
        <f>IF(F39="Y",E39,"")</f>
        <v/>
      </c>
    </row>
    <row r="40">
      <c r="A40" s="31" t="n">
        <v>38</v>
      </c>
      <c r="B40" s="16" t="n">
        <v>-14.24</v>
      </c>
      <c r="C40" s="16" t="n">
        <v>71.6</v>
      </c>
      <c r="D40" s="16">
        <f>ROUND(SQRT(B40^2+C40^2),2)</f>
        <v>73</v>
      </c>
      <c r="E40" s="16" t="n">
        <v>92.48</v>
      </c>
      <c r="F40" s="31" t="str">
        <f>IF(D40&lt;=$L$7,"Y","N")</f>
        <v>N</v>
      </c>
      <c r="G40" s="37" t="str">
        <f>IF(F40="N","-",IF(OR(E40&lt;$L$3,E40&gt;$L$4),"FAIL",IF(OR(E40&lt;$L$5,E40&gt;$L$6),"WARN","PASS")))</f>
        <v>-</v>
      </c>
      <c r="H40" s="31" t="str">
        <f>IF(F40="N","-",IF(AND(E40&gt;=$L$3,E40&lt;=$L$4),"Y","N"))</f>
        <v>-</v>
      </c>
      <c r="I40" s="16">
        <f>IF(F40="Y",E40,"")</f>
        <v/>
      </c>
    </row>
    <row r="41">
      <c r="A41" s="31" t="n">
        <v>39</v>
      </c>
      <c r="B41" s="16" t="n">
        <v>-40.56</v>
      </c>
      <c r="C41" s="16" t="n">
        <v>60.7</v>
      </c>
      <c r="D41" s="16">
        <f>ROUND(SQRT(B41^2+C41^2),2)</f>
        <v>73</v>
      </c>
      <c r="E41" s="16" t="n">
        <v>93.48</v>
      </c>
      <c r="F41" s="31" t="str">
        <f>IF(D41&lt;=$L$7,"Y","N")</f>
        <v>N</v>
      </c>
      <c r="G41" s="37" t="str">
        <f>IF(F41="N","-",IF(OR(E41&lt;$L$3,E41&gt;$L$4),"FAIL",IF(OR(E41&lt;$L$5,E41&gt;$L$6),"WARN","PASS")))</f>
        <v>-</v>
      </c>
      <c r="H41" s="31" t="str">
        <f>IF(F41="N","-",IF(AND(E41&gt;=$L$3,E41&lt;=$L$4),"Y","N"))</f>
        <v>-</v>
      </c>
      <c r="I41" s="16">
        <f>IF(F41="Y",E41,"")</f>
        <v/>
      </c>
    </row>
    <row r="42">
      <c r="A42" s="31" t="n">
        <v>40</v>
      </c>
      <c r="B42" s="16" t="n">
        <v>-60.7</v>
      </c>
      <c r="C42" s="16" t="n">
        <v>40.56</v>
      </c>
      <c r="D42" s="16">
        <f>ROUND(SQRT(B42^2+C42^2),2)</f>
        <v>73</v>
      </c>
      <c r="E42" s="16" t="n">
        <v>92.85</v>
      </c>
      <c r="F42" s="31" t="str">
        <f>IF(D42&lt;=$L$7,"Y","N")</f>
        <v>N</v>
      </c>
      <c r="G42" s="37" t="str">
        <f>IF(F42="N","-",IF(OR(E42&lt;$L$3,E42&gt;$L$4),"FAIL",IF(OR(E42&lt;$L$5,E42&gt;$L$6),"WARN","PASS")))</f>
        <v>-</v>
      </c>
      <c r="H42" s="31" t="str">
        <f>IF(F42="N","-",IF(AND(E42&gt;=$L$3,E42&lt;=$L$4),"Y","N"))</f>
        <v>-</v>
      </c>
      <c r="I42" s="16">
        <f>IF(F42="Y",E42,"")</f>
        <v/>
      </c>
    </row>
    <row r="43">
      <c r="A43" s="31" t="n">
        <v>41</v>
      </c>
      <c r="B43" s="16" t="n">
        <v>-71.6</v>
      </c>
      <c r="C43" s="16" t="n">
        <v>14.24</v>
      </c>
      <c r="D43" s="16">
        <f>ROUND(SQRT(B43^2+C43^2),2)</f>
        <v>73</v>
      </c>
      <c r="E43" s="16" t="n">
        <v>92.52</v>
      </c>
      <c r="F43" s="31" t="str">
        <f>IF(D43&lt;=$L$7,"Y","N")</f>
        <v>N</v>
      </c>
      <c r="G43" s="37" t="str">
        <f>IF(F43="N","-",IF(OR(E43&lt;$L$3,E43&gt;$L$4),"FAIL",IF(OR(E43&lt;$L$5,E43&gt;$L$6),"WARN","PASS")))</f>
        <v>-</v>
      </c>
      <c r="H43" s="31" t="str">
        <f>IF(F43="N","-",IF(AND(E43&gt;=$L$3,E43&lt;=$L$4),"Y","N"))</f>
        <v>-</v>
      </c>
      <c r="I43" s="16">
        <f>IF(F43="Y",E43,"")</f>
        <v/>
      </c>
    </row>
    <row r="44">
      <c r="A44" s="31" t="n">
        <v>42</v>
      </c>
      <c r="B44" s="16" t="n">
        <v>-71.6</v>
      </c>
      <c r="C44" s="16" t="n">
        <v>-14.24</v>
      </c>
      <c r="D44" s="16">
        <f>ROUND(SQRT(B44^2+C44^2),2)</f>
        <v>73</v>
      </c>
      <c r="E44" s="16" t="n">
        <v>92.51</v>
      </c>
      <c r="F44" s="31" t="str">
        <f>IF(D44&lt;=$L$7,"Y","N")</f>
        <v>N</v>
      </c>
      <c r="G44" s="37" t="str">
        <f>IF(F44="N","-",IF(OR(E44&lt;$L$3,E44&gt;$L$4),"FAIL",IF(OR(E44&lt;$L$5,E44&gt;$L$6),"WARN","PASS")))</f>
        <v>-</v>
      </c>
      <c r="H44" s="31" t="str">
        <f>IF(F44="N","-",IF(AND(E44&gt;=$L$3,E44&lt;=$L$4),"Y","N"))</f>
        <v>-</v>
      </c>
      <c r="I44" s="16">
        <f>IF(F44="Y",E44,"")</f>
        <v/>
      </c>
    </row>
    <row r="45">
      <c r="A45" s="31" t="n">
        <v>43</v>
      </c>
      <c r="B45" s="16" t="n">
        <v>-60.7</v>
      </c>
      <c r="C45" s="16" t="n">
        <v>-40.56</v>
      </c>
      <c r="D45" s="16">
        <f>ROUND(SQRT(B45^2+C45^2),2)</f>
        <v>73</v>
      </c>
      <c r="E45" s="16" t="n">
        <v>92.64</v>
      </c>
      <c r="F45" s="31" t="str">
        <f>IF(D45&lt;=$L$7,"Y","N")</f>
        <v>N</v>
      </c>
      <c r="G45" s="37" t="str">
        <f>IF(F45="N","-",IF(OR(E45&lt;$L$3,E45&gt;$L$4),"FAIL",IF(OR(E45&lt;$L$5,E45&gt;$L$6),"WARN","PASS")))</f>
        <v>-</v>
      </c>
      <c r="H45" s="31" t="str">
        <f>IF(F45="N","-",IF(AND(E45&gt;=$L$3,E45&lt;=$L$4),"Y","N"))</f>
        <v>-</v>
      </c>
      <c r="I45" s="16">
        <f>IF(F45="Y",E45,"")</f>
        <v/>
      </c>
    </row>
    <row r="46">
      <c r="A46" s="31" t="n">
        <v>44</v>
      </c>
      <c r="B46" s="16" t="n">
        <v>-40.56</v>
      </c>
      <c r="C46" s="16" t="n">
        <v>-60.7</v>
      </c>
      <c r="D46" s="16">
        <f>ROUND(SQRT(B46^2+C46^2),2)</f>
        <v>73</v>
      </c>
      <c r="E46" s="16" t="n">
        <v>92.55</v>
      </c>
      <c r="F46" s="31" t="str">
        <f>IF(D46&lt;=$L$7,"Y","N")</f>
        <v>N</v>
      </c>
      <c r="G46" s="37" t="str">
        <f>IF(F46="N","-",IF(OR(E46&lt;$L$3,E46&gt;$L$4),"FAIL",IF(OR(E46&lt;$L$5,E46&gt;$L$6),"WARN","PASS")))</f>
        <v>-</v>
      </c>
      <c r="H46" s="31" t="str">
        <f>IF(F46="N","-",IF(AND(E46&gt;=$L$3,E46&lt;=$L$4),"Y","N"))</f>
        <v>-</v>
      </c>
      <c r="I46" s="16">
        <f>IF(F46="Y",E46,"")</f>
        <v/>
      </c>
    </row>
    <row r="47">
      <c r="A47" s="31" t="n">
        <v>45</v>
      </c>
      <c r="B47" s="16" t="n">
        <v>-14.24</v>
      </c>
      <c r="C47" s="16" t="n">
        <v>-71.6</v>
      </c>
      <c r="D47" s="16">
        <f>ROUND(SQRT(B47^2+C47^2),2)</f>
        <v>73</v>
      </c>
      <c r="E47" s="16" t="n">
        <v>93.02</v>
      </c>
      <c r="F47" s="31" t="str">
        <f>IF(D47&lt;=$L$7,"Y","N")</f>
        <v>N</v>
      </c>
      <c r="G47" s="37" t="str">
        <f>IF(F47="N","-",IF(OR(E47&lt;$L$3,E47&gt;$L$4),"FAIL",IF(OR(E47&lt;$L$5,E47&gt;$L$6),"WARN","PASS")))</f>
        <v>-</v>
      </c>
      <c r="H47" s="31" t="str">
        <f>IF(F47="N","-",IF(AND(E47&gt;=$L$3,E47&lt;=$L$4),"Y","N"))</f>
        <v>-</v>
      </c>
      <c r="I47" s="16">
        <f>IF(F47="Y",E47,"")</f>
        <v/>
      </c>
    </row>
    <row r="48">
      <c r="A48" s="31" t="n">
        <v>46</v>
      </c>
      <c r="B48" s="16" t="n">
        <v>14.24</v>
      </c>
      <c r="C48" s="16" t="n">
        <v>-71.6</v>
      </c>
      <c r="D48" s="16">
        <f>ROUND(SQRT(B48^2+C48^2),2)</f>
        <v>73</v>
      </c>
      <c r="E48" s="16" t="n">
        <v>92.19</v>
      </c>
      <c r="F48" s="31" t="str">
        <f>IF(D48&lt;=$L$7,"Y","N")</f>
        <v>N</v>
      </c>
      <c r="G48" s="37" t="str">
        <f>IF(F48="N","-",IF(OR(E48&lt;$L$3,E48&gt;$L$4),"FAIL",IF(OR(E48&lt;$L$5,E48&gt;$L$6),"WARN","PASS")))</f>
        <v>-</v>
      </c>
      <c r="H48" s="31" t="str">
        <f>IF(F48="N","-",IF(AND(E48&gt;=$L$3,E48&lt;=$L$4),"Y","N"))</f>
        <v>-</v>
      </c>
      <c r="I48" s="16">
        <f>IF(F48="Y",E48,"")</f>
        <v/>
      </c>
    </row>
    <row r="49">
      <c r="A49" s="31" t="n">
        <v>47</v>
      </c>
      <c r="B49" s="16" t="n">
        <v>40.56</v>
      </c>
      <c r="C49" s="16" t="n">
        <v>-60.7</v>
      </c>
      <c r="D49" s="16">
        <f>ROUND(SQRT(B49^2+C49^2),2)</f>
        <v>73</v>
      </c>
      <c r="E49" s="16" t="n">
        <v>92.86</v>
      </c>
      <c r="F49" s="31" t="str">
        <f>IF(D49&lt;=$L$7,"Y","N")</f>
        <v>N</v>
      </c>
      <c r="G49" s="37" t="str">
        <f>IF(F49="N","-",IF(OR(E49&lt;$L$3,E49&gt;$L$4),"FAIL",IF(OR(E49&lt;$L$5,E49&gt;$L$6),"WARN","PASS")))</f>
        <v>-</v>
      </c>
      <c r="H49" s="31" t="str">
        <f>IF(F49="N","-",IF(AND(E49&gt;=$L$3,E49&lt;=$L$4),"Y","N"))</f>
        <v>-</v>
      </c>
      <c r="I49" s="16">
        <f>IF(F49="Y",E49,"")</f>
        <v/>
      </c>
    </row>
    <row r="50">
      <c r="A50" s="31" t="n">
        <v>48</v>
      </c>
      <c r="B50" s="16" t="n">
        <v>60.7</v>
      </c>
      <c r="C50" s="16" t="n">
        <v>-40.56</v>
      </c>
      <c r="D50" s="16">
        <f>ROUND(SQRT(B50^2+C50^2),2)</f>
        <v>73</v>
      </c>
      <c r="E50" s="16" t="n">
        <v>92.94</v>
      </c>
      <c r="F50" s="31" t="str">
        <f>IF(D50&lt;=$L$7,"Y","N")</f>
        <v>N</v>
      </c>
      <c r="G50" s="37" t="str">
        <f>IF(F50="N","-",IF(OR(E50&lt;$L$3,E50&gt;$L$4),"FAIL",IF(OR(E50&lt;$L$5,E50&gt;$L$6),"WARN","PASS")))</f>
        <v>-</v>
      </c>
      <c r="H50" s="31" t="str">
        <f>IF(F50="N","-",IF(AND(E50&gt;=$L$3,E50&lt;=$L$4),"Y","N"))</f>
        <v>-</v>
      </c>
      <c r="I50" s="16">
        <f>IF(F50="Y",E50,"")</f>
        <v/>
      </c>
    </row>
    <row r="51">
      <c r="A51" s="31" t="n">
        <v>49</v>
      </c>
      <c r="B51" s="16" t="n">
        <v>71.6</v>
      </c>
      <c r="C51" s="16" t="n">
        <v>-14.24</v>
      </c>
      <c r="D51" s="16">
        <f>ROUND(SQRT(B51^2+C51^2),2)</f>
        <v>73</v>
      </c>
      <c r="E51" s="16" t="n">
        <v>92.12</v>
      </c>
      <c r="F51" s="31" t="str">
        <f>IF(D51&lt;=$L$7,"Y","N")</f>
        <v>N</v>
      </c>
      <c r="G51" s="37" t="str">
        <f>IF(F51="N","-",IF(OR(E51&lt;$L$3,E51&gt;$L$4),"FAIL",IF(OR(E51&lt;$L$5,E51&gt;$L$6),"WARN","PASS")))</f>
        <v>-</v>
      </c>
      <c r="H51" s="31" t="str">
        <f>IF(F51="N","-",IF(AND(E51&gt;=$L$3,E51&lt;=$L$4),"Y","N"))</f>
        <v>-</v>
      </c>
      <c r="I51" s="16">
        <f>IF(F51="Y",E51,"")</f>
        <v/>
      </c>
    </row>
    <row r="53">
      <c r="A53" s="41" t="inlineStr">
        <is>
          <t>W01 statistics (included sites, live)</t>
        </is>
      </c>
    </row>
    <row r="54">
      <c r="A54" s="38" t="inlineStr">
        <is>
          <t>Included site count</t>
        </is>
      </c>
      <c r="B54" s="39" t="n"/>
      <c r="C54" s="15">
        <f>COUNTIF(F3:F51,"Y")</f>
        <v>33</v>
      </c>
    </row>
    <row r="55">
      <c r="A55" s="38" t="inlineStr">
        <is>
          <t>Mean Rs</t>
        </is>
      </c>
      <c r="B55" s="39" t="n"/>
      <c r="C55" s="16">
        <f>ROUND(AVERAGE(I3:I51),2)</f>
        <v>86.86</v>
      </c>
    </row>
    <row r="56">
      <c r="A56" s="38" t="inlineStr">
        <is>
          <t>Min Rs</t>
        </is>
      </c>
      <c r="B56" s="39" t="n"/>
      <c r="C56" s="16">
        <f>ROUND(MIN(I3:I51),2)</f>
        <v>83.72</v>
      </c>
    </row>
    <row r="57">
      <c r="A57" s="38" t="inlineStr">
        <is>
          <t>Max Rs</t>
        </is>
      </c>
      <c r="B57" s="39" t="n"/>
      <c r="C57" s="16">
        <f>ROUND(MAX(I3:I51),2)</f>
        <v>90.12</v>
      </c>
    </row>
    <row r="58">
      <c r="A58" s="38" t="inlineStr">
        <is>
          <t>WIW NU %</t>
        </is>
      </c>
      <c r="B58" s="39" t="n"/>
      <c r="C58" s="16">
        <f>ROUND((C57-C56)/(2*C55)*100,2)</f>
        <v>3.68</v>
      </c>
    </row>
    <row r="59">
      <c r="A59" s="38" t="inlineStr">
        <is>
          <t>Yield % (in spec / included)</t>
        </is>
      </c>
      <c r="B59" s="39" t="n"/>
      <c r="C59" s="17">
        <f>ROUND(COUNTIF(H3:H51,"Y")/COUNTIF(F3:F51,"Y")*100,1)</f>
        <v>81.8</v>
      </c>
    </row>
  </sheetData>
  <mergeCells count="1">
    <mergeCell ref="A53:D5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40" min="1" max="1"/>
    <col width="7" customWidth="1" style="40" min="2" max="2"/>
    <col width="11" customWidth="1" style="40" min="3" max="3"/>
    <col width="11" customWidth="1" style="40" min="4" max="4"/>
    <col width="10" customWidth="1" style="40" min="5" max="5"/>
    <col width="10" customWidth="1" style="40" min="6" max="6"/>
  </cols>
  <sheetData>
    <row r="1">
      <c r="A1" s="44" t="inlineStr">
        <is>
          <t>Raw_Data (deduped site measurements from metrology export)</t>
        </is>
      </c>
    </row>
    <row r="2">
      <c r="A2" s="45" t="inlineStr">
        <is>
          <t>wafer</t>
        </is>
      </c>
      <c r="B2" s="45" t="inlineStr">
        <is>
          <t>site</t>
        </is>
      </c>
      <c r="C2" s="45" t="inlineStr">
        <is>
          <t>radius_mm</t>
        </is>
      </c>
      <c r="D2" s="45" t="inlineStr">
        <is>
          <t>Rs_ohm_sq</t>
        </is>
      </c>
      <c r="E2" s="45" t="inlineStr">
        <is>
          <t>included</t>
        </is>
      </c>
      <c r="F2" s="45" t="inlineStr">
        <is>
          <t>Rs_incl</t>
        </is>
      </c>
    </row>
    <row r="3">
      <c r="A3" s="46" t="inlineStr">
        <is>
          <t>W01</t>
        </is>
      </c>
      <c r="B3" s="46" t="n">
        <v>1</v>
      </c>
      <c r="C3" s="47" t="n">
        <v>0</v>
      </c>
      <c r="D3" s="47" t="n">
        <v>84.09</v>
      </c>
      <c r="E3" s="46" t="str">
        <f>IF(C3&lt;=72.0,"Y","N")</f>
        <v>Y</v>
      </c>
      <c r="F3" s="46">
        <f>IF(E3="Y",D3,"")</f>
        <v>84.09</v>
      </c>
    </row>
    <row r="4">
      <c r="A4" s="46" t="inlineStr">
        <is>
          <t>W01</t>
        </is>
      </c>
      <c r="B4" s="46" t="n">
        <v>2</v>
      </c>
      <c r="C4" s="47" t="n">
        <v>22</v>
      </c>
      <c r="D4" s="47" t="n">
        <v>84.93</v>
      </c>
      <c r="E4" s="46" t="str">
        <f>IF(C4&lt;=72.0,"Y","N")</f>
        <v>Y</v>
      </c>
      <c r="F4" s="46">
        <f>IF(E4="Y",D4,"")</f>
        <v>84.93</v>
      </c>
    </row>
    <row r="5">
      <c r="A5" s="46" t="inlineStr">
        <is>
          <t>W01</t>
        </is>
      </c>
      <c r="B5" s="46" t="n">
        <v>3</v>
      </c>
      <c r="C5" s="47" t="n">
        <v>22</v>
      </c>
      <c r="D5" s="47" t="n">
        <v>84.53</v>
      </c>
      <c r="E5" s="46" t="str">
        <f>IF(C5&lt;=72.0,"Y","N")</f>
        <v>Y</v>
      </c>
      <c r="F5" s="46">
        <f>IF(E5="Y",D5,"")</f>
        <v>84.53</v>
      </c>
    </row>
    <row r="6">
      <c r="A6" s="46" t="inlineStr">
        <is>
          <t>W01</t>
        </is>
      </c>
      <c r="B6" s="46" t="n">
        <v>4</v>
      </c>
      <c r="C6" s="47" t="n">
        <v>22</v>
      </c>
      <c r="D6" s="47" t="n">
        <v>84.66</v>
      </c>
      <c r="E6" s="46" t="str">
        <f>IF(C6&lt;=72.0,"Y","N")</f>
        <v>Y</v>
      </c>
      <c r="F6" s="46">
        <f>IF(E6="Y",D6,"")</f>
        <v>84.66</v>
      </c>
    </row>
    <row r="7">
      <c r="A7" s="46" t="inlineStr">
        <is>
          <t>W01</t>
        </is>
      </c>
      <c r="B7" s="46" t="n">
        <v>5</v>
      </c>
      <c r="C7" s="47" t="n">
        <v>22</v>
      </c>
      <c r="D7" s="47" t="n">
        <v>83.88</v>
      </c>
      <c r="E7" s="46" t="str">
        <f>IF(C7&lt;=72.0,"Y","N")</f>
        <v>Y</v>
      </c>
      <c r="F7" s="46">
        <f>IF(E7="Y",D7,"")</f>
        <v>83.88</v>
      </c>
    </row>
    <row r="8">
      <c r="A8" s="46" t="inlineStr">
        <is>
          <t>W01</t>
        </is>
      </c>
      <c r="B8" s="46" t="n">
        <v>6</v>
      </c>
      <c r="C8" s="47" t="n">
        <v>22</v>
      </c>
      <c r="D8" s="47" t="n">
        <v>83.72</v>
      </c>
      <c r="E8" s="46" t="str">
        <f>IF(C8&lt;=72.0,"Y","N")</f>
        <v>Y</v>
      </c>
      <c r="F8" s="46">
        <f>IF(E8="Y",D8,"")</f>
        <v>83.72</v>
      </c>
    </row>
    <row r="9">
      <c r="A9" s="46" t="inlineStr">
        <is>
          <t>W01</t>
        </is>
      </c>
      <c r="B9" s="46" t="n">
        <v>7</v>
      </c>
      <c r="C9" s="47" t="n">
        <v>22</v>
      </c>
      <c r="D9" s="47" t="n">
        <v>84.78</v>
      </c>
      <c r="E9" s="46" t="str">
        <f>IF(C9&lt;=72.0,"Y","N")</f>
        <v>Y</v>
      </c>
      <c r="F9" s="46">
        <f>IF(E9="Y",D9,"")</f>
        <v>84.78</v>
      </c>
    </row>
    <row r="10">
      <c r="A10" s="46" t="inlineStr">
        <is>
          <t>W01</t>
        </is>
      </c>
      <c r="B10" s="46" t="n">
        <v>8</v>
      </c>
      <c r="C10" s="47" t="n">
        <v>22</v>
      </c>
      <c r="D10" s="47" t="n">
        <v>84.25</v>
      </c>
      <c r="E10" s="46" t="str">
        <f>IF(C10&lt;=72.0,"Y","N")</f>
        <v>Y</v>
      </c>
      <c r="F10" s="46">
        <f>IF(E10="Y",D10,"")</f>
        <v>84.25</v>
      </c>
    </row>
    <row r="11">
      <c r="A11" s="46" t="inlineStr">
        <is>
          <t>W01</t>
        </is>
      </c>
      <c r="B11" s="46" t="n">
        <v>9</v>
      </c>
      <c r="C11" s="47" t="n">
        <v>22</v>
      </c>
      <c r="D11" s="47" t="n">
        <v>84.31</v>
      </c>
      <c r="E11" s="46" t="str">
        <f>IF(C11&lt;=72.0,"Y","N")</f>
        <v>Y</v>
      </c>
      <c r="F11" s="46">
        <f>IF(E11="Y",D11,"")</f>
        <v>84.31</v>
      </c>
    </row>
    <row r="12">
      <c r="A12" s="46" t="inlineStr">
        <is>
          <t>W01</t>
        </is>
      </c>
      <c r="B12" s="46" t="n">
        <v>10</v>
      </c>
      <c r="C12" s="47" t="n">
        <v>40</v>
      </c>
      <c r="D12" s="47" t="n">
        <v>85.63</v>
      </c>
      <c r="E12" s="46" t="str">
        <f>IF(C12&lt;=72.0,"Y","N")</f>
        <v>Y</v>
      </c>
      <c r="F12" s="46">
        <f>IF(E12="Y",D12,"")</f>
        <v>85.63</v>
      </c>
    </row>
    <row r="13">
      <c r="A13" s="46" t="inlineStr">
        <is>
          <t>W01</t>
        </is>
      </c>
      <c r="B13" s="46" t="n">
        <v>11</v>
      </c>
      <c r="C13" s="47" t="n">
        <v>40</v>
      </c>
      <c r="D13" s="47" t="n">
        <v>86.84</v>
      </c>
      <c r="E13" s="46" t="str">
        <f>IF(C13&lt;=72.0,"Y","N")</f>
        <v>Y</v>
      </c>
      <c r="F13" s="46">
        <f>IF(E13="Y",D13,"")</f>
        <v>86.84</v>
      </c>
    </row>
    <row r="14">
      <c r="A14" s="46" t="inlineStr">
        <is>
          <t>W01</t>
        </is>
      </c>
      <c r="B14" s="46" t="n">
        <v>12</v>
      </c>
      <c r="C14" s="47" t="n">
        <v>40</v>
      </c>
      <c r="D14" s="47" t="n">
        <v>86.22</v>
      </c>
      <c r="E14" s="46" t="str">
        <f>IF(C14&lt;=72.0,"Y","N")</f>
        <v>Y</v>
      </c>
      <c r="F14" s="46">
        <f>IF(E14="Y",D14,"")</f>
        <v>86.22</v>
      </c>
    </row>
    <row r="15">
      <c r="A15" s="46" t="inlineStr">
        <is>
          <t>W01</t>
        </is>
      </c>
      <c r="B15" s="46" t="n">
        <v>13</v>
      </c>
      <c r="C15" s="47" t="n">
        <v>40</v>
      </c>
      <c r="D15" s="47" t="n">
        <v>86.13</v>
      </c>
      <c r="E15" s="46" t="str">
        <f>IF(C15&lt;=72.0,"Y","N")</f>
        <v>Y</v>
      </c>
      <c r="F15" s="46">
        <f>IF(E15="Y",D15,"")</f>
        <v>86.13</v>
      </c>
    </row>
    <row r="16">
      <c r="A16" s="46" t="inlineStr">
        <is>
          <t>W01</t>
        </is>
      </c>
      <c r="B16" s="46" t="n">
        <v>14</v>
      </c>
      <c r="C16" s="47" t="n">
        <v>40</v>
      </c>
      <c r="D16" s="47" t="n">
        <v>86.87</v>
      </c>
      <c r="E16" s="46" t="str">
        <f>IF(C16&lt;=72.0,"Y","N")</f>
        <v>Y</v>
      </c>
      <c r="F16" s="46">
        <f>IF(E16="Y",D16,"")</f>
        <v>86.87</v>
      </c>
    </row>
    <row r="17">
      <c r="A17" s="46" t="inlineStr">
        <is>
          <t>W01</t>
        </is>
      </c>
      <c r="B17" s="46" t="n">
        <v>15</v>
      </c>
      <c r="C17" s="47" t="n">
        <v>40</v>
      </c>
      <c r="D17" s="47" t="n">
        <v>86.57</v>
      </c>
      <c r="E17" s="46" t="str">
        <f>IF(C17&lt;=72.0,"Y","N")</f>
        <v>Y</v>
      </c>
      <c r="F17" s="46">
        <f>IF(E17="Y",D17,"")</f>
        <v>86.57</v>
      </c>
    </row>
    <row r="18">
      <c r="A18" s="46" t="inlineStr">
        <is>
          <t>W01</t>
        </is>
      </c>
      <c r="B18" s="46" t="n">
        <v>16</v>
      </c>
      <c r="C18" s="47" t="n">
        <v>40</v>
      </c>
      <c r="D18" s="47" t="n">
        <v>85.47</v>
      </c>
      <c r="E18" s="46" t="str">
        <f>IF(C18&lt;=72.0,"Y","N")</f>
        <v>Y</v>
      </c>
      <c r="F18" s="46">
        <f>IF(E18="Y",D18,"")</f>
        <v>85.47</v>
      </c>
    </row>
    <row r="19">
      <c r="A19" s="46" t="inlineStr">
        <is>
          <t>W01</t>
        </is>
      </c>
      <c r="B19" s="46" t="n">
        <v>17</v>
      </c>
      <c r="C19" s="47" t="n">
        <v>40</v>
      </c>
      <c r="D19" s="47" t="n">
        <v>85.67</v>
      </c>
      <c r="E19" s="46" t="str">
        <f>IF(C19&lt;=72.0,"Y","N")</f>
        <v>Y</v>
      </c>
      <c r="F19" s="46">
        <f>IF(E19="Y",D19,"")</f>
        <v>85.67</v>
      </c>
    </row>
    <row r="20">
      <c r="A20" s="46" t="inlineStr">
        <is>
          <t>W01</t>
        </is>
      </c>
      <c r="B20" s="46" t="n">
        <v>18</v>
      </c>
      <c r="C20" s="47" t="n">
        <v>40</v>
      </c>
      <c r="D20" s="47" t="n">
        <v>86.32</v>
      </c>
      <c r="E20" s="46" t="str">
        <f>IF(C20&lt;=72.0,"Y","N")</f>
        <v>Y</v>
      </c>
      <c r="F20" s="46">
        <f>IF(E20="Y",D20,"")</f>
        <v>86.32</v>
      </c>
    </row>
    <row r="21">
      <c r="A21" s="46" t="inlineStr">
        <is>
          <t>W01</t>
        </is>
      </c>
      <c r="B21" s="46" t="n">
        <v>19</v>
      </c>
      <c r="C21" s="47" t="n">
        <v>40</v>
      </c>
      <c r="D21" s="47" t="n">
        <v>86.35</v>
      </c>
      <c r="E21" s="46" t="str">
        <f>IF(C21&lt;=72.0,"Y","N")</f>
        <v>Y</v>
      </c>
      <c r="F21" s="46">
        <f>IF(E21="Y",D21,"")</f>
        <v>86.35</v>
      </c>
    </row>
    <row r="22">
      <c r="A22" s="46" t="inlineStr">
        <is>
          <t>W01</t>
        </is>
      </c>
      <c r="B22" s="46" t="n">
        <v>20</v>
      </c>
      <c r="C22" s="47" t="n">
        <v>40</v>
      </c>
      <c r="D22" s="47" t="n">
        <v>85.62</v>
      </c>
      <c r="E22" s="46" t="str">
        <f>IF(C22&lt;=72.0,"Y","N")</f>
        <v>Y</v>
      </c>
      <c r="F22" s="46">
        <f>IF(E22="Y",D22,"")</f>
        <v>85.62</v>
      </c>
    </row>
    <row r="23">
      <c r="A23" s="46" t="inlineStr">
        <is>
          <t>W01</t>
        </is>
      </c>
      <c r="B23" s="46" t="n">
        <v>21</v>
      </c>
      <c r="C23" s="47" t="n">
        <v>40</v>
      </c>
      <c r="D23" s="47" t="n">
        <v>86.62</v>
      </c>
      <c r="E23" s="46" t="str">
        <f>IF(C23&lt;=72.0,"Y","N")</f>
        <v>Y</v>
      </c>
      <c r="F23" s="46">
        <f>IF(E23="Y",D23,"")</f>
        <v>86.62</v>
      </c>
    </row>
    <row r="24">
      <c r="A24" s="46" t="inlineStr">
        <is>
          <t>W01</t>
        </is>
      </c>
      <c r="B24" s="46" t="n">
        <v>22</v>
      </c>
      <c r="C24" s="47" t="n">
        <v>58</v>
      </c>
      <c r="D24" s="47" t="n">
        <v>89.05</v>
      </c>
      <c r="E24" s="46" t="str">
        <f>IF(C24&lt;=72.0,"Y","N")</f>
        <v>Y</v>
      </c>
      <c r="F24" s="46">
        <f>IF(E24="Y",D24,"")</f>
        <v>89.05</v>
      </c>
    </row>
    <row r="25">
      <c r="A25" s="46" t="inlineStr">
        <is>
          <t>W01</t>
        </is>
      </c>
      <c r="B25" s="46" t="n">
        <v>23</v>
      </c>
      <c r="C25" s="47" t="n">
        <v>58</v>
      </c>
      <c r="D25" s="47" t="n">
        <v>88.92</v>
      </c>
      <c r="E25" s="46" t="str">
        <f>IF(C25&lt;=72.0,"Y","N")</f>
        <v>Y</v>
      </c>
      <c r="F25" s="46">
        <f>IF(E25="Y",D25,"")</f>
        <v>88.92</v>
      </c>
    </row>
    <row r="26">
      <c r="A26" s="46" t="inlineStr">
        <is>
          <t>W01</t>
        </is>
      </c>
      <c r="B26" s="46" t="n">
        <v>24</v>
      </c>
      <c r="C26" s="47" t="n">
        <v>58</v>
      </c>
      <c r="D26" s="47" t="n">
        <v>90.07</v>
      </c>
      <c r="E26" s="46" t="str">
        <f>IF(C26&lt;=72.0,"Y","N")</f>
        <v>Y</v>
      </c>
      <c r="F26" s="46">
        <f>IF(E26="Y",D26,"")</f>
        <v>90.07</v>
      </c>
    </row>
    <row r="27">
      <c r="A27" s="46" t="inlineStr">
        <is>
          <t>W01</t>
        </is>
      </c>
      <c r="B27" s="46" t="n">
        <v>25</v>
      </c>
      <c r="C27" s="47" t="n">
        <v>58</v>
      </c>
      <c r="D27" s="47" t="n">
        <v>89.85</v>
      </c>
      <c r="E27" s="46" t="str">
        <f>IF(C27&lt;=72.0,"Y","N")</f>
        <v>Y</v>
      </c>
      <c r="F27" s="46">
        <f>IF(E27="Y",D27,"")</f>
        <v>89.85</v>
      </c>
    </row>
    <row r="28">
      <c r="A28" s="46" t="inlineStr">
        <is>
          <t>W01</t>
        </is>
      </c>
      <c r="B28" s="46" t="n">
        <v>26</v>
      </c>
      <c r="C28" s="47" t="n">
        <v>58</v>
      </c>
      <c r="D28" s="47" t="n">
        <v>89.47</v>
      </c>
      <c r="E28" s="46" t="str">
        <f>IF(C28&lt;=72.0,"Y","N")</f>
        <v>Y</v>
      </c>
      <c r="F28" s="46">
        <f>IF(E28="Y",D28,"")</f>
        <v>89.47</v>
      </c>
    </row>
    <row r="29">
      <c r="A29" s="46" t="inlineStr">
        <is>
          <t>W01</t>
        </is>
      </c>
      <c r="B29" s="46" t="n">
        <v>27</v>
      </c>
      <c r="C29" s="47" t="n">
        <v>58</v>
      </c>
      <c r="D29" s="47" t="n">
        <v>90.12</v>
      </c>
      <c r="E29" s="46" t="str">
        <f>IF(C29&lt;=72.0,"Y","N")</f>
        <v>Y</v>
      </c>
      <c r="F29" s="46">
        <f>IF(E29="Y",D29,"")</f>
        <v>90.12</v>
      </c>
    </row>
    <row r="30">
      <c r="A30" s="46" t="inlineStr">
        <is>
          <t>W01</t>
        </is>
      </c>
      <c r="B30" s="46" t="n">
        <v>28</v>
      </c>
      <c r="C30" s="47" t="n">
        <v>58</v>
      </c>
      <c r="D30" s="47" t="n">
        <v>89.18</v>
      </c>
      <c r="E30" s="46" t="str">
        <f>IF(C30&lt;=72.0,"Y","N")</f>
        <v>Y</v>
      </c>
      <c r="F30" s="46">
        <f>IF(E30="Y",D30,"")</f>
        <v>89.18</v>
      </c>
    </row>
    <row r="31">
      <c r="A31" s="46" t="inlineStr">
        <is>
          <t>W01</t>
        </is>
      </c>
      <c r="B31" s="46" t="n">
        <v>29</v>
      </c>
      <c r="C31" s="47" t="n">
        <v>58</v>
      </c>
      <c r="D31" s="47" t="n">
        <v>88.68</v>
      </c>
      <c r="E31" s="46" t="str">
        <f>IF(C31&lt;=72.0,"Y","N")</f>
        <v>Y</v>
      </c>
      <c r="F31" s="46">
        <f>IF(E31="Y",D31,"")</f>
        <v>88.68</v>
      </c>
    </row>
    <row r="32">
      <c r="A32" s="46" t="inlineStr">
        <is>
          <t>W01</t>
        </is>
      </c>
      <c r="B32" s="46" t="n">
        <v>30</v>
      </c>
      <c r="C32" s="47" t="n">
        <v>58</v>
      </c>
      <c r="D32" s="47" t="n">
        <v>88.97</v>
      </c>
      <c r="E32" s="46" t="str">
        <f>IF(C32&lt;=72.0,"Y","N")</f>
        <v>Y</v>
      </c>
      <c r="F32" s="46">
        <f>IF(E32="Y",D32,"")</f>
        <v>88.97</v>
      </c>
    </row>
    <row r="33">
      <c r="A33" s="46" t="inlineStr">
        <is>
          <t>W01</t>
        </is>
      </c>
      <c r="B33" s="46" t="n">
        <v>31</v>
      </c>
      <c r="C33" s="47" t="n">
        <v>58</v>
      </c>
      <c r="D33" s="47" t="n">
        <v>89.99</v>
      </c>
      <c r="E33" s="46" t="str">
        <f>IF(C33&lt;=72.0,"Y","N")</f>
        <v>Y</v>
      </c>
      <c r="F33" s="46">
        <f>IF(E33="Y",D33,"")</f>
        <v>89.99</v>
      </c>
    </row>
    <row r="34">
      <c r="A34" s="46" t="inlineStr">
        <is>
          <t>W01</t>
        </is>
      </c>
      <c r="B34" s="46" t="n">
        <v>32</v>
      </c>
      <c r="C34" s="47" t="n">
        <v>58</v>
      </c>
      <c r="D34" s="47" t="n">
        <v>90.06</v>
      </c>
      <c r="E34" s="46" t="str">
        <f>IF(C34&lt;=72.0,"Y","N")</f>
        <v>Y</v>
      </c>
      <c r="F34" s="46">
        <f>IF(E34="Y",D34,"")</f>
        <v>90.06</v>
      </c>
    </row>
    <row r="35">
      <c r="A35" s="46" t="inlineStr">
        <is>
          <t>W01</t>
        </is>
      </c>
      <c r="B35" s="46" t="n">
        <v>33</v>
      </c>
      <c r="C35" s="47" t="n">
        <v>58</v>
      </c>
      <c r="D35" s="47" t="n">
        <v>88.66</v>
      </c>
      <c r="E35" s="46" t="str">
        <f>IF(C35&lt;=72.0,"Y","N")</f>
        <v>Y</v>
      </c>
      <c r="F35" s="46">
        <f>IF(E35="Y",D35,"")</f>
        <v>88.66</v>
      </c>
    </row>
    <row r="36">
      <c r="A36" s="46" t="inlineStr">
        <is>
          <t>W01</t>
        </is>
      </c>
      <c r="B36" s="46" t="n">
        <v>34</v>
      </c>
      <c r="C36" s="47" t="n">
        <v>73</v>
      </c>
      <c r="D36" s="47" t="n">
        <v>92.03</v>
      </c>
      <c r="E36" s="46" t="str">
        <f>IF(C36&lt;=72.0,"Y","N")</f>
        <v>N</v>
      </c>
      <c r="F36" s="46" t="str">
        <f>IF(E36="Y",D36,"")</f>
        <v/>
      </c>
    </row>
    <row r="37">
      <c r="A37" s="46" t="inlineStr">
        <is>
          <t>W01</t>
        </is>
      </c>
      <c r="B37" s="46" t="n">
        <v>35</v>
      </c>
      <c r="C37" s="47" t="n">
        <v>73</v>
      </c>
      <c r="D37" s="47" t="n">
        <v>92.81</v>
      </c>
      <c r="E37" s="46" t="str">
        <f>IF(C37&lt;=72.0,"Y","N")</f>
        <v>N</v>
      </c>
      <c r="F37" s="46" t="str">
        <f>IF(E37="Y",D37,"")</f>
        <v/>
      </c>
    </row>
    <row r="38">
      <c r="A38" s="46" t="inlineStr">
        <is>
          <t>W01</t>
        </is>
      </c>
      <c r="B38" s="46" t="n">
        <v>36</v>
      </c>
      <c r="C38" s="47" t="n">
        <v>73</v>
      </c>
      <c r="D38" s="47" t="n">
        <v>92.18</v>
      </c>
      <c r="E38" s="46" t="str">
        <f>IF(C38&lt;=72.0,"Y","N")</f>
        <v>N</v>
      </c>
      <c r="F38" s="46" t="str">
        <f>IF(E38="Y",D38,"")</f>
        <v/>
      </c>
    </row>
    <row r="39">
      <c r="A39" s="46" t="inlineStr">
        <is>
          <t>W01</t>
        </is>
      </c>
      <c r="B39" s="46" t="n">
        <v>37</v>
      </c>
      <c r="C39" s="47" t="n">
        <v>73</v>
      </c>
      <c r="D39" s="47" t="n">
        <v>92.47</v>
      </c>
      <c r="E39" s="46" t="str">
        <f>IF(C39&lt;=72.0,"Y","N")</f>
        <v>N</v>
      </c>
      <c r="F39" s="46" t="str">
        <f>IF(E39="Y",D39,"")</f>
        <v/>
      </c>
    </row>
    <row r="40">
      <c r="A40" s="46" t="inlineStr">
        <is>
          <t>W01</t>
        </is>
      </c>
      <c r="B40" s="46" t="n">
        <v>38</v>
      </c>
      <c r="C40" s="47" t="n">
        <v>73</v>
      </c>
      <c r="D40" s="47" t="n">
        <v>92.48</v>
      </c>
      <c r="E40" s="46" t="str">
        <f>IF(C40&lt;=72.0,"Y","N")</f>
        <v>N</v>
      </c>
      <c r="F40" s="46" t="str">
        <f>IF(E40="Y",D40,"")</f>
        <v/>
      </c>
    </row>
    <row r="41">
      <c r="A41" s="46" t="inlineStr">
        <is>
          <t>W01</t>
        </is>
      </c>
      <c r="B41" s="46" t="n">
        <v>39</v>
      </c>
      <c r="C41" s="47" t="n">
        <v>73</v>
      </c>
      <c r="D41" s="47" t="n">
        <v>93.48</v>
      </c>
      <c r="E41" s="46" t="str">
        <f>IF(C41&lt;=72.0,"Y","N")</f>
        <v>N</v>
      </c>
      <c r="F41" s="46" t="str">
        <f>IF(E41="Y",D41,"")</f>
        <v/>
      </c>
    </row>
    <row r="42">
      <c r="A42" s="46" t="inlineStr">
        <is>
          <t>W01</t>
        </is>
      </c>
      <c r="B42" s="46" t="n">
        <v>40</v>
      </c>
      <c r="C42" s="47" t="n">
        <v>73</v>
      </c>
      <c r="D42" s="47" t="n">
        <v>92.85</v>
      </c>
      <c r="E42" s="46" t="str">
        <f>IF(C42&lt;=72.0,"Y","N")</f>
        <v>N</v>
      </c>
      <c r="F42" s="46" t="str">
        <f>IF(E42="Y",D42,"")</f>
        <v/>
      </c>
    </row>
    <row r="43">
      <c r="A43" s="46" t="inlineStr">
        <is>
          <t>W01</t>
        </is>
      </c>
      <c r="B43" s="46" t="n">
        <v>41</v>
      </c>
      <c r="C43" s="47" t="n">
        <v>73</v>
      </c>
      <c r="D43" s="47" t="n">
        <v>92.52</v>
      </c>
      <c r="E43" s="46" t="str">
        <f>IF(C43&lt;=72.0,"Y","N")</f>
        <v>N</v>
      </c>
      <c r="F43" s="46" t="str">
        <f>IF(E43="Y",D43,"")</f>
        <v/>
      </c>
    </row>
    <row r="44">
      <c r="A44" s="46" t="inlineStr">
        <is>
          <t>W01</t>
        </is>
      </c>
      <c r="B44" s="46" t="n">
        <v>42</v>
      </c>
      <c r="C44" s="47" t="n">
        <v>73</v>
      </c>
      <c r="D44" s="47" t="n">
        <v>92.51</v>
      </c>
      <c r="E44" s="46" t="str">
        <f>IF(C44&lt;=72.0,"Y","N")</f>
        <v>N</v>
      </c>
      <c r="F44" s="46" t="str">
        <f>IF(E44="Y",D44,"")</f>
        <v/>
      </c>
    </row>
    <row r="45">
      <c r="A45" s="46" t="inlineStr">
        <is>
          <t>W01</t>
        </is>
      </c>
      <c r="B45" s="46" t="n">
        <v>43</v>
      </c>
      <c r="C45" s="47" t="n">
        <v>73</v>
      </c>
      <c r="D45" s="47" t="n">
        <v>92.64</v>
      </c>
      <c r="E45" s="46" t="str">
        <f>IF(C45&lt;=72.0,"Y","N")</f>
        <v>N</v>
      </c>
      <c r="F45" s="46" t="str">
        <f>IF(E45="Y",D45,"")</f>
        <v/>
      </c>
    </row>
    <row r="46">
      <c r="A46" s="46" t="inlineStr">
        <is>
          <t>W01</t>
        </is>
      </c>
      <c r="B46" s="46" t="n">
        <v>44</v>
      </c>
      <c r="C46" s="47" t="n">
        <v>73</v>
      </c>
      <c r="D46" s="47" t="n">
        <v>92.55</v>
      </c>
      <c r="E46" s="46" t="str">
        <f>IF(C46&lt;=72.0,"Y","N")</f>
        <v>N</v>
      </c>
      <c r="F46" s="46" t="str">
        <f>IF(E46="Y",D46,"")</f>
        <v/>
      </c>
    </row>
    <row r="47">
      <c r="A47" s="46" t="inlineStr">
        <is>
          <t>W01</t>
        </is>
      </c>
      <c r="B47" s="46" t="n">
        <v>45</v>
      </c>
      <c r="C47" s="47" t="n">
        <v>73</v>
      </c>
      <c r="D47" s="47" t="n">
        <v>93.02</v>
      </c>
      <c r="E47" s="46" t="str">
        <f>IF(C47&lt;=72.0,"Y","N")</f>
        <v>N</v>
      </c>
      <c r="F47" s="46" t="str">
        <f>IF(E47="Y",D47,"")</f>
        <v/>
      </c>
    </row>
    <row r="48">
      <c r="A48" s="46" t="inlineStr">
        <is>
          <t>W01</t>
        </is>
      </c>
      <c r="B48" s="46" t="n">
        <v>46</v>
      </c>
      <c r="C48" s="47" t="n">
        <v>73</v>
      </c>
      <c r="D48" s="47" t="n">
        <v>92.19</v>
      </c>
      <c r="E48" s="46" t="str">
        <f>IF(C48&lt;=72.0,"Y","N")</f>
        <v>N</v>
      </c>
      <c r="F48" s="46" t="str">
        <f>IF(E48="Y",D48,"")</f>
        <v/>
      </c>
    </row>
    <row r="49">
      <c r="A49" s="46" t="inlineStr">
        <is>
          <t>W01</t>
        </is>
      </c>
      <c r="B49" s="46" t="n">
        <v>47</v>
      </c>
      <c r="C49" s="47" t="n">
        <v>73</v>
      </c>
      <c r="D49" s="47" t="n">
        <v>92.86</v>
      </c>
      <c r="E49" s="46" t="str">
        <f>IF(C49&lt;=72.0,"Y","N")</f>
        <v>N</v>
      </c>
      <c r="F49" s="46" t="str">
        <f>IF(E49="Y",D49,"")</f>
        <v/>
      </c>
    </row>
    <row r="50">
      <c r="A50" s="46" t="inlineStr">
        <is>
          <t>W01</t>
        </is>
      </c>
      <c r="B50" s="46" t="n">
        <v>48</v>
      </c>
      <c r="C50" s="47" t="n">
        <v>73</v>
      </c>
      <c r="D50" s="47" t="n">
        <v>92.94</v>
      </c>
      <c r="E50" s="46" t="str">
        <f>IF(C50&lt;=72.0,"Y","N")</f>
        <v>N</v>
      </c>
      <c r="F50" s="46" t="str">
        <f>IF(E50="Y",D50,"")</f>
        <v/>
      </c>
    </row>
    <row r="51">
      <c r="A51" s="46" t="inlineStr">
        <is>
          <t>W01</t>
        </is>
      </c>
      <c r="B51" s="46" t="n">
        <v>49</v>
      </c>
      <c r="C51" s="47" t="n">
        <v>73</v>
      </c>
      <c r="D51" s="47" t="n">
        <v>92.12</v>
      </c>
      <c r="E51" s="46" t="str">
        <f>IF(C51&lt;=72.0,"Y","N")</f>
        <v>N</v>
      </c>
      <c r="F51" s="46" t="str">
        <f>IF(E51="Y",D51,"")</f>
        <v/>
      </c>
    </row>
    <row r="52">
      <c r="A52" s="46" t="inlineStr">
        <is>
          <t>W02</t>
        </is>
      </c>
      <c r="B52" s="46" t="n">
        <v>1</v>
      </c>
      <c r="C52" s="47" t="n">
        <v>0</v>
      </c>
      <c r="D52" s="47" t="n">
        <v>82</v>
      </c>
      <c r="E52" s="46" t="str">
        <f>IF(C52&lt;=72.0,"Y","N")</f>
        <v>Y</v>
      </c>
      <c r="F52" s="46">
        <f>IF(E52="Y",D52,"")</f>
        <v>82</v>
      </c>
    </row>
    <row r="53">
      <c r="A53" s="46" t="inlineStr">
        <is>
          <t>W02</t>
        </is>
      </c>
      <c r="B53" s="46" t="n">
        <v>2</v>
      </c>
      <c r="C53" s="47" t="n">
        <v>22</v>
      </c>
      <c r="D53" s="47" t="n">
        <v>83.77</v>
      </c>
      <c r="E53" s="46" t="str">
        <f>IF(C53&lt;=72.0,"Y","N")</f>
        <v>Y</v>
      </c>
      <c r="F53" s="46">
        <f>IF(E53="Y",D53,"")</f>
        <v>83.77</v>
      </c>
    </row>
    <row r="54">
      <c r="A54" s="46" t="inlineStr">
        <is>
          <t>W02</t>
        </is>
      </c>
      <c r="B54" s="46" t="n">
        <v>3</v>
      </c>
      <c r="C54" s="47" t="n">
        <v>22</v>
      </c>
      <c r="D54" s="47" t="n">
        <v>82.75</v>
      </c>
      <c r="E54" s="46" t="str">
        <f>IF(C54&lt;=72.0,"Y","N")</f>
        <v>Y</v>
      </c>
      <c r="F54" s="46">
        <f>IF(E54="Y",D54,"")</f>
        <v>82.75</v>
      </c>
    </row>
    <row r="55">
      <c r="A55" s="46" t="inlineStr">
        <is>
          <t>W02</t>
        </is>
      </c>
      <c r="B55" s="46" t="n">
        <v>4</v>
      </c>
      <c r="C55" s="47" t="n">
        <v>22</v>
      </c>
      <c r="D55" s="47" t="n">
        <v>83.97</v>
      </c>
      <c r="E55" s="46" t="str">
        <f>IF(C55&lt;=72.0,"Y","N")</f>
        <v>Y</v>
      </c>
      <c r="F55" s="46">
        <f>IF(E55="Y",D55,"")</f>
        <v>83.97</v>
      </c>
    </row>
    <row r="56">
      <c r="A56" s="46" t="inlineStr">
        <is>
          <t>W02</t>
        </is>
      </c>
      <c r="B56" s="46" t="n">
        <v>5</v>
      </c>
      <c r="C56" s="47" t="n">
        <v>22</v>
      </c>
      <c r="D56" s="47" t="n">
        <v>82.97</v>
      </c>
      <c r="E56" s="46" t="str">
        <f>IF(C56&lt;=72.0,"Y","N")</f>
        <v>Y</v>
      </c>
      <c r="F56" s="46">
        <f>IF(E56="Y",D56,"")</f>
        <v>82.97</v>
      </c>
    </row>
    <row r="57">
      <c r="A57" s="46" t="inlineStr">
        <is>
          <t>W02</t>
        </is>
      </c>
      <c r="B57" s="46" t="n">
        <v>6</v>
      </c>
      <c r="C57" s="47" t="n">
        <v>22</v>
      </c>
      <c r="D57" s="47" t="n">
        <v>82.84</v>
      </c>
      <c r="E57" s="46" t="str">
        <f>IF(C57&lt;=72.0,"Y","N")</f>
        <v>Y</v>
      </c>
      <c r="F57" s="46">
        <f>IF(E57="Y",D57,"")</f>
        <v>82.84</v>
      </c>
    </row>
    <row r="58">
      <c r="A58" s="46" t="inlineStr">
        <is>
          <t>W02</t>
        </is>
      </c>
      <c r="B58" s="46" t="n">
        <v>7</v>
      </c>
      <c r="C58" s="47" t="n">
        <v>22</v>
      </c>
      <c r="D58" s="47" t="n">
        <v>84.03</v>
      </c>
      <c r="E58" s="46" t="str">
        <f>IF(C58&lt;=72.0,"Y","N")</f>
        <v>Y</v>
      </c>
      <c r="F58" s="46">
        <f>IF(E58="Y",D58,"")</f>
        <v>84.03</v>
      </c>
    </row>
    <row r="59">
      <c r="A59" s="46" t="inlineStr">
        <is>
          <t>W02</t>
        </is>
      </c>
      <c r="B59" s="46" t="n">
        <v>8</v>
      </c>
      <c r="C59" s="47" t="n">
        <v>22</v>
      </c>
      <c r="D59" s="47" t="n">
        <v>83.2</v>
      </c>
      <c r="E59" s="46" t="str">
        <f>IF(C59&lt;=72.0,"Y","N")</f>
        <v>Y</v>
      </c>
      <c r="F59" s="46">
        <f>IF(E59="Y",D59,"")</f>
        <v>83.2</v>
      </c>
    </row>
    <row r="60">
      <c r="A60" s="46" t="inlineStr">
        <is>
          <t>W02</t>
        </is>
      </c>
      <c r="B60" s="46" t="n">
        <v>9</v>
      </c>
      <c r="C60" s="47" t="n">
        <v>22</v>
      </c>
      <c r="D60" s="47" t="n">
        <v>83.19</v>
      </c>
      <c r="E60" s="46" t="str">
        <f>IF(C60&lt;=72.0,"Y","N")</f>
        <v>Y</v>
      </c>
      <c r="F60" s="46">
        <f>IF(E60="Y",D60,"")</f>
        <v>83.19</v>
      </c>
    </row>
    <row r="61">
      <c r="A61" s="46" t="inlineStr">
        <is>
          <t>W02</t>
        </is>
      </c>
      <c r="B61" s="46" t="n">
        <v>10</v>
      </c>
      <c r="C61" s="47" t="n">
        <v>40</v>
      </c>
      <c r="D61" s="47" t="n">
        <v>86</v>
      </c>
      <c r="E61" s="46" t="str">
        <f>IF(C61&lt;=72.0,"Y","N")</f>
        <v>Y</v>
      </c>
      <c r="F61" s="46">
        <f>IF(E61="Y",D61,"")</f>
        <v>86</v>
      </c>
    </row>
    <row r="62">
      <c r="A62" s="46" t="inlineStr">
        <is>
          <t>W02</t>
        </is>
      </c>
      <c r="B62" s="46" t="n">
        <v>11</v>
      </c>
      <c r="C62" s="47" t="n">
        <v>40</v>
      </c>
      <c r="D62" s="47" t="n">
        <v>84.5</v>
      </c>
      <c r="E62" s="46" t="str">
        <f>IF(C62&lt;=72.0,"Y","N")</f>
        <v>Y</v>
      </c>
      <c r="F62" s="46">
        <f>IF(E62="Y",D62,"")</f>
        <v>84.5</v>
      </c>
    </row>
    <row r="63">
      <c r="A63" s="46" t="inlineStr">
        <is>
          <t>W02</t>
        </is>
      </c>
      <c r="B63" s="46" t="n">
        <v>12</v>
      </c>
      <c r="C63" s="47" t="n">
        <v>40</v>
      </c>
      <c r="D63" s="47" t="n">
        <v>84.84</v>
      </c>
      <c r="E63" s="46" t="str">
        <f>IF(C63&lt;=72.0,"Y","N")</f>
        <v>Y</v>
      </c>
      <c r="F63" s="46">
        <f>IF(E63="Y",D63,"")</f>
        <v>84.84</v>
      </c>
    </row>
    <row r="64">
      <c r="A64" s="46" t="inlineStr">
        <is>
          <t>W02</t>
        </is>
      </c>
      <c r="B64" s="46" t="n">
        <v>13</v>
      </c>
      <c r="C64" s="47" t="n">
        <v>40</v>
      </c>
      <c r="D64" s="47" t="n">
        <v>85.48</v>
      </c>
      <c r="E64" s="46" t="str">
        <f>IF(C64&lt;=72.0,"Y","N")</f>
        <v>Y</v>
      </c>
      <c r="F64" s="46">
        <f>IF(E64="Y",D64,"")</f>
        <v>85.48</v>
      </c>
    </row>
    <row r="65">
      <c r="A65" s="46" t="inlineStr">
        <is>
          <t>W02</t>
        </is>
      </c>
      <c r="B65" s="46" t="n">
        <v>14</v>
      </c>
      <c r="C65" s="47" t="n">
        <v>40</v>
      </c>
      <c r="D65" s="47" t="n">
        <v>84.76</v>
      </c>
      <c r="E65" s="46" t="str">
        <f>IF(C65&lt;=72.0,"Y","N")</f>
        <v>Y</v>
      </c>
      <c r="F65" s="46">
        <f>IF(E65="Y",D65,"")</f>
        <v>84.76</v>
      </c>
    </row>
    <row r="66">
      <c r="A66" s="46" t="inlineStr">
        <is>
          <t>W02</t>
        </is>
      </c>
      <c r="B66" s="46" t="n">
        <v>15</v>
      </c>
      <c r="C66" s="47" t="n">
        <v>40</v>
      </c>
      <c r="D66" s="47" t="n">
        <v>85.82</v>
      </c>
      <c r="E66" s="46" t="str">
        <f>IF(C66&lt;=72.0,"Y","N")</f>
        <v>Y</v>
      </c>
      <c r="F66" s="46">
        <f>IF(E66="Y",D66,"")</f>
        <v>85.82</v>
      </c>
    </row>
    <row r="67">
      <c r="A67" s="46" t="inlineStr">
        <is>
          <t>W02</t>
        </is>
      </c>
      <c r="B67" s="46" t="n">
        <v>16</v>
      </c>
      <c r="C67" s="47" t="n">
        <v>40</v>
      </c>
      <c r="D67" s="47" t="n">
        <v>85.33</v>
      </c>
      <c r="E67" s="46" t="str">
        <f>IF(C67&lt;=72.0,"Y","N")</f>
        <v>Y</v>
      </c>
      <c r="F67" s="46">
        <f>IF(E67="Y",D67,"")</f>
        <v>85.33</v>
      </c>
    </row>
    <row r="68">
      <c r="A68" s="46" t="inlineStr">
        <is>
          <t>W02</t>
        </is>
      </c>
      <c r="B68" s="46" t="n">
        <v>17</v>
      </c>
      <c r="C68" s="47" t="n">
        <v>40</v>
      </c>
      <c r="D68" s="47" t="n">
        <v>84.79</v>
      </c>
      <c r="E68" s="46" t="str">
        <f>IF(C68&lt;=72.0,"Y","N")</f>
        <v>Y</v>
      </c>
      <c r="F68" s="46">
        <f>IF(E68="Y",D68,"")</f>
        <v>84.79</v>
      </c>
    </row>
    <row r="69">
      <c r="A69" s="46" t="inlineStr">
        <is>
          <t>W02</t>
        </is>
      </c>
      <c r="B69" s="46" t="n">
        <v>18</v>
      </c>
      <c r="C69" s="47" t="n">
        <v>40</v>
      </c>
      <c r="D69" s="47" t="n">
        <v>85.21</v>
      </c>
      <c r="E69" s="46" t="str">
        <f>IF(C69&lt;=72.0,"Y","N")</f>
        <v>Y</v>
      </c>
      <c r="F69" s="46">
        <f>IF(E69="Y",D69,"")</f>
        <v>85.21</v>
      </c>
    </row>
    <row r="70">
      <c r="A70" s="46" t="inlineStr">
        <is>
          <t>W02</t>
        </is>
      </c>
      <c r="B70" s="46" t="n">
        <v>19</v>
      </c>
      <c r="C70" s="47" t="n">
        <v>40</v>
      </c>
      <c r="D70" s="47" t="n">
        <v>85.77</v>
      </c>
      <c r="E70" s="46" t="str">
        <f>IF(C70&lt;=72.0,"Y","N")</f>
        <v>Y</v>
      </c>
      <c r="F70" s="46">
        <f>IF(E70="Y",D70,"")</f>
        <v>85.77</v>
      </c>
    </row>
    <row r="71">
      <c r="A71" s="46" t="inlineStr">
        <is>
          <t>W02</t>
        </is>
      </c>
      <c r="B71" s="46" t="n">
        <v>20</v>
      </c>
      <c r="C71" s="47" t="n">
        <v>40</v>
      </c>
      <c r="D71" s="47" t="n">
        <v>84.8</v>
      </c>
      <c r="E71" s="46" t="str">
        <f>IF(C71&lt;=72.0,"Y","N")</f>
        <v>Y</v>
      </c>
      <c r="F71" s="46">
        <f>IF(E71="Y",D71,"")</f>
        <v>84.8</v>
      </c>
    </row>
    <row r="72">
      <c r="A72" s="46" t="inlineStr">
        <is>
          <t>W02</t>
        </is>
      </c>
      <c r="B72" s="46" t="n">
        <v>21</v>
      </c>
      <c r="C72" s="47" t="n">
        <v>40</v>
      </c>
      <c r="D72" s="47" t="n">
        <v>84.46</v>
      </c>
      <c r="E72" s="46" t="str">
        <f>IF(C72&lt;=72.0,"Y","N")</f>
        <v>Y</v>
      </c>
      <c r="F72" s="46">
        <f>IF(E72="Y",D72,"")</f>
        <v>84.46</v>
      </c>
    </row>
    <row r="73">
      <c r="A73" s="46" t="inlineStr">
        <is>
          <t>W02</t>
        </is>
      </c>
      <c r="B73" s="46" t="n">
        <v>22</v>
      </c>
      <c r="C73" s="47" t="n">
        <v>58</v>
      </c>
      <c r="D73" s="47" t="n">
        <v>89.03</v>
      </c>
      <c r="E73" s="46" t="str">
        <f>IF(C73&lt;=72.0,"Y","N")</f>
        <v>Y</v>
      </c>
      <c r="F73" s="46">
        <f>IF(E73="Y",D73,"")</f>
        <v>89.03</v>
      </c>
    </row>
    <row r="74">
      <c r="A74" s="46" t="inlineStr">
        <is>
          <t>W02</t>
        </is>
      </c>
      <c r="B74" s="46" t="n">
        <v>23</v>
      </c>
      <c r="C74" s="47" t="n">
        <v>58</v>
      </c>
      <c r="D74" s="47" t="n">
        <v>87.74</v>
      </c>
      <c r="E74" s="46" t="str">
        <f>IF(C74&lt;=72.0,"Y","N")</f>
        <v>Y</v>
      </c>
      <c r="F74" s="46">
        <f>IF(E74="Y",D74,"")</f>
        <v>87.74</v>
      </c>
    </row>
    <row r="75">
      <c r="A75" s="46" t="inlineStr">
        <is>
          <t>W02</t>
        </is>
      </c>
      <c r="B75" s="46" t="n">
        <v>24</v>
      </c>
      <c r="C75" s="47" t="n">
        <v>58</v>
      </c>
      <c r="D75" s="47" t="n">
        <v>88.1</v>
      </c>
      <c r="E75" s="46" t="str">
        <f>IF(C75&lt;=72.0,"Y","N")</f>
        <v>Y</v>
      </c>
      <c r="F75" s="46">
        <f>IF(E75="Y",D75,"")</f>
        <v>88.1</v>
      </c>
    </row>
    <row r="76">
      <c r="A76" s="46" t="inlineStr">
        <is>
          <t>W02</t>
        </is>
      </c>
      <c r="B76" s="46" t="n">
        <v>25</v>
      </c>
      <c r="C76" s="47" t="n">
        <v>58</v>
      </c>
      <c r="D76" s="47" t="n">
        <v>88.35</v>
      </c>
      <c r="E76" s="46" t="str">
        <f>IF(C76&lt;=72.0,"Y","N")</f>
        <v>Y</v>
      </c>
      <c r="F76" s="46">
        <f>IF(E76="Y",D76,"")</f>
        <v>88.35</v>
      </c>
    </row>
    <row r="77">
      <c r="A77" s="46" t="inlineStr">
        <is>
          <t>W02</t>
        </is>
      </c>
      <c r="B77" s="46" t="n">
        <v>26</v>
      </c>
      <c r="C77" s="47" t="n">
        <v>58</v>
      </c>
      <c r="D77" s="47" t="n">
        <v>88.47</v>
      </c>
      <c r="E77" s="46" t="str">
        <f>IF(C77&lt;=72.0,"Y","N")</f>
        <v>Y</v>
      </c>
      <c r="F77" s="46">
        <f>IF(E77="Y",D77,"")</f>
        <v>88.47</v>
      </c>
    </row>
    <row r="78">
      <c r="A78" s="46" t="inlineStr">
        <is>
          <t>W02</t>
        </is>
      </c>
      <c r="B78" s="46" t="n">
        <v>27</v>
      </c>
      <c r="C78" s="47" t="n">
        <v>58</v>
      </c>
      <c r="D78" s="47" t="n">
        <v>89.17</v>
      </c>
      <c r="E78" s="46" t="str">
        <f>IF(C78&lt;=72.0,"Y","N")</f>
        <v>Y</v>
      </c>
      <c r="F78" s="46">
        <f>IF(E78="Y",D78,"")</f>
        <v>89.17</v>
      </c>
    </row>
    <row r="79">
      <c r="A79" s="46" t="inlineStr">
        <is>
          <t>W02</t>
        </is>
      </c>
      <c r="B79" s="46" t="n">
        <v>28</v>
      </c>
      <c r="C79" s="47" t="n">
        <v>58</v>
      </c>
      <c r="D79" s="47" t="n">
        <v>87.92</v>
      </c>
      <c r="E79" s="46" t="str">
        <f>IF(C79&lt;=72.0,"Y","N")</f>
        <v>Y</v>
      </c>
      <c r="F79" s="46">
        <f>IF(E79="Y",D79,"")</f>
        <v>87.92</v>
      </c>
    </row>
    <row r="80">
      <c r="A80" s="46" t="inlineStr">
        <is>
          <t>W02</t>
        </is>
      </c>
      <c r="B80" s="46" t="n">
        <v>29</v>
      </c>
      <c r="C80" s="47" t="n">
        <v>58</v>
      </c>
      <c r="D80" s="47" t="n">
        <v>89</v>
      </c>
      <c r="E80" s="46" t="str">
        <f>IF(C80&lt;=72.0,"Y","N")</f>
        <v>Y</v>
      </c>
      <c r="F80" s="46">
        <f>IF(E80="Y",D80,"")</f>
        <v>89</v>
      </c>
    </row>
    <row r="81">
      <c r="A81" s="46" t="inlineStr">
        <is>
          <t>W02</t>
        </is>
      </c>
      <c r="B81" s="46" t="n">
        <v>30</v>
      </c>
      <c r="C81" s="47" t="n">
        <v>58</v>
      </c>
      <c r="D81" s="47" t="n">
        <v>88.81</v>
      </c>
      <c r="E81" s="46" t="str">
        <f>IF(C81&lt;=72.0,"Y","N")</f>
        <v>Y</v>
      </c>
      <c r="F81" s="46">
        <f>IF(E81="Y",D81,"")</f>
        <v>88.81</v>
      </c>
    </row>
    <row r="82">
      <c r="A82" s="46" t="inlineStr">
        <is>
          <t>W02</t>
        </is>
      </c>
      <c r="B82" s="46" t="n">
        <v>31</v>
      </c>
      <c r="C82" s="47" t="n">
        <v>58</v>
      </c>
      <c r="D82" s="47" t="n">
        <v>89.18</v>
      </c>
      <c r="E82" s="46" t="str">
        <f>IF(C82&lt;=72.0,"Y","N")</f>
        <v>Y</v>
      </c>
      <c r="F82" s="46">
        <f>IF(E82="Y",D82,"")</f>
        <v>89.18</v>
      </c>
    </row>
    <row r="83">
      <c r="A83" s="46" t="inlineStr">
        <is>
          <t>W02</t>
        </is>
      </c>
      <c r="B83" s="46" t="n">
        <v>32</v>
      </c>
      <c r="C83" s="47" t="n">
        <v>58</v>
      </c>
      <c r="D83" s="47" t="n">
        <v>88.05</v>
      </c>
      <c r="E83" s="46" t="str">
        <f>IF(C83&lt;=72.0,"Y","N")</f>
        <v>Y</v>
      </c>
      <c r="F83" s="46">
        <f>IF(E83="Y",D83,"")</f>
        <v>88.05</v>
      </c>
    </row>
    <row r="84">
      <c r="A84" s="46" t="inlineStr">
        <is>
          <t>W02</t>
        </is>
      </c>
      <c r="B84" s="46" t="n">
        <v>33</v>
      </c>
      <c r="C84" s="47" t="n">
        <v>58</v>
      </c>
      <c r="D84" s="47" t="n">
        <v>88.82</v>
      </c>
      <c r="E84" s="46" t="str">
        <f>IF(C84&lt;=72.0,"Y","N")</f>
        <v>Y</v>
      </c>
      <c r="F84" s="46">
        <f>IF(E84="Y",D84,"")</f>
        <v>88.82</v>
      </c>
    </row>
    <row r="85">
      <c r="A85" s="46" t="inlineStr">
        <is>
          <t>W02</t>
        </is>
      </c>
      <c r="B85" s="46" t="n">
        <v>34</v>
      </c>
      <c r="C85" s="47" t="n">
        <v>73</v>
      </c>
      <c r="D85" s="47" t="n">
        <v>91.64</v>
      </c>
      <c r="E85" s="46" t="str">
        <f>IF(C85&lt;=72.0,"Y","N")</f>
        <v>N</v>
      </c>
      <c r="F85" s="46" t="str">
        <f>IF(E85="Y",D85,"")</f>
        <v/>
      </c>
    </row>
    <row r="86">
      <c r="A86" s="46" t="inlineStr">
        <is>
          <t>W02</t>
        </is>
      </c>
      <c r="B86" s="46" t="n">
        <v>35</v>
      </c>
      <c r="C86" s="47" t="n">
        <v>73</v>
      </c>
      <c r="D86" s="47" t="n">
        <v>91.96</v>
      </c>
      <c r="E86" s="46" t="str">
        <f>IF(C86&lt;=72.0,"Y","N")</f>
        <v>N</v>
      </c>
      <c r="F86" s="46" t="str">
        <f>IF(E86="Y",D86,"")</f>
        <v/>
      </c>
    </row>
    <row r="87">
      <c r="A87" s="46" t="inlineStr">
        <is>
          <t>W02</t>
        </is>
      </c>
      <c r="B87" s="46" t="n">
        <v>36</v>
      </c>
      <c r="C87" s="47" t="n">
        <v>73</v>
      </c>
      <c r="D87" s="47" t="n">
        <v>92.31</v>
      </c>
      <c r="E87" s="46" t="str">
        <f>IF(C87&lt;=72.0,"Y","N")</f>
        <v>N</v>
      </c>
      <c r="F87" s="46" t="str">
        <f>IF(E87="Y",D87,"")</f>
        <v/>
      </c>
    </row>
    <row r="88">
      <c r="A88" s="46" t="inlineStr">
        <is>
          <t>W02</t>
        </is>
      </c>
      <c r="B88" s="46" t="n">
        <v>37</v>
      </c>
      <c r="C88" s="47" t="n">
        <v>73</v>
      </c>
      <c r="D88" s="47" t="n">
        <v>92.07</v>
      </c>
      <c r="E88" s="46" t="str">
        <f>IF(C88&lt;=72.0,"Y","N")</f>
        <v>N</v>
      </c>
      <c r="F88" s="46" t="str">
        <f>IF(E88="Y",D88,"")</f>
        <v/>
      </c>
    </row>
    <row r="89">
      <c r="A89" s="46" t="inlineStr">
        <is>
          <t>W02</t>
        </is>
      </c>
      <c r="B89" s="46" t="n">
        <v>38</v>
      </c>
      <c r="C89" s="47" t="n">
        <v>73</v>
      </c>
      <c r="D89" s="47" t="n">
        <v>92.29</v>
      </c>
      <c r="E89" s="46" t="str">
        <f>IF(C89&lt;=72.0,"Y","N")</f>
        <v>N</v>
      </c>
      <c r="F89" s="46" t="str">
        <f>IF(E89="Y",D89,"")</f>
        <v/>
      </c>
    </row>
    <row r="90">
      <c r="A90" s="46" t="inlineStr">
        <is>
          <t>W02</t>
        </is>
      </c>
      <c r="B90" s="46" t="n">
        <v>39</v>
      </c>
      <c r="C90" s="47" t="n">
        <v>73</v>
      </c>
      <c r="D90" s="47" t="n">
        <v>92.61</v>
      </c>
      <c r="E90" s="46" t="str">
        <f>IF(C90&lt;=72.0,"Y","N")</f>
        <v>N</v>
      </c>
      <c r="F90" s="46" t="str">
        <f>IF(E90="Y",D90,"")</f>
        <v/>
      </c>
    </row>
    <row r="91">
      <c r="A91" s="46" t="inlineStr">
        <is>
          <t>W02</t>
        </is>
      </c>
      <c r="B91" s="46" t="n">
        <v>40</v>
      </c>
      <c r="C91" s="47" t="n">
        <v>73</v>
      </c>
      <c r="D91" s="47" t="n">
        <v>91.34</v>
      </c>
      <c r="E91" s="46" t="str">
        <f>IF(C91&lt;=72.0,"Y","N")</f>
        <v>N</v>
      </c>
      <c r="F91" s="46" t="str">
        <f>IF(E91="Y",D91,"")</f>
        <v/>
      </c>
    </row>
    <row r="92">
      <c r="A92" s="46" t="inlineStr">
        <is>
          <t>W02</t>
        </is>
      </c>
      <c r="B92" s="46" t="n">
        <v>41</v>
      </c>
      <c r="C92" s="47" t="n">
        <v>73</v>
      </c>
      <c r="D92" s="47" t="n">
        <v>91.28</v>
      </c>
      <c r="E92" s="46" t="str">
        <f>IF(C92&lt;=72.0,"Y","N")</f>
        <v>N</v>
      </c>
      <c r="F92" s="46" t="str">
        <f>IF(E92="Y",D92,"")</f>
        <v/>
      </c>
    </row>
    <row r="93">
      <c r="A93" s="46" t="inlineStr">
        <is>
          <t>W02</t>
        </is>
      </c>
      <c r="B93" s="46" t="n">
        <v>42</v>
      </c>
      <c r="C93" s="47" t="n">
        <v>73</v>
      </c>
      <c r="D93" s="47" t="n">
        <v>91.29</v>
      </c>
      <c r="E93" s="46" t="str">
        <f>IF(C93&lt;=72.0,"Y","N")</f>
        <v>N</v>
      </c>
      <c r="F93" s="46" t="str">
        <f>IF(E93="Y",D93,"")</f>
        <v/>
      </c>
    </row>
    <row r="94">
      <c r="A94" s="46" t="inlineStr">
        <is>
          <t>W02</t>
        </is>
      </c>
      <c r="B94" s="46" t="n">
        <v>43</v>
      </c>
      <c r="C94" s="47" t="n">
        <v>73</v>
      </c>
      <c r="D94" s="47" t="n">
        <v>91.48</v>
      </c>
      <c r="E94" s="46" t="str">
        <f>IF(C94&lt;=72.0,"Y","N")</f>
        <v>N</v>
      </c>
      <c r="F94" s="46" t="str">
        <f>IF(E94="Y",D94,"")</f>
        <v/>
      </c>
    </row>
    <row r="95">
      <c r="A95" s="46" t="inlineStr">
        <is>
          <t>W02</t>
        </is>
      </c>
      <c r="B95" s="46" t="n">
        <v>44</v>
      </c>
      <c r="C95" s="47" t="n">
        <v>73</v>
      </c>
      <c r="D95" s="47" t="n">
        <v>91.75</v>
      </c>
      <c r="E95" s="46" t="str">
        <f>IF(C95&lt;=72.0,"Y","N")</f>
        <v>N</v>
      </c>
      <c r="F95" s="46" t="str">
        <f>IF(E95="Y",D95,"")</f>
        <v/>
      </c>
    </row>
    <row r="96">
      <c r="A96" s="46" t="inlineStr">
        <is>
          <t>W02</t>
        </is>
      </c>
      <c r="B96" s="46" t="n">
        <v>45</v>
      </c>
      <c r="C96" s="47" t="n">
        <v>73</v>
      </c>
      <c r="D96" s="47" t="n">
        <v>91.47</v>
      </c>
      <c r="E96" s="46" t="str">
        <f>IF(C96&lt;=72.0,"Y","N")</f>
        <v>N</v>
      </c>
      <c r="F96" s="46" t="str">
        <f>IF(E96="Y",D96,"")</f>
        <v/>
      </c>
    </row>
    <row r="97">
      <c r="A97" s="46" t="inlineStr">
        <is>
          <t>W02</t>
        </is>
      </c>
      <c r="B97" s="46" t="n">
        <v>46</v>
      </c>
      <c r="C97" s="47" t="n">
        <v>73</v>
      </c>
      <c r="D97" s="47" t="n">
        <v>91.35</v>
      </c>
      <c r="E97" s="46" t="str">
        <f>IF(C97&lt;=72.0,"Y","N")</f>
        <v>N</v>
      </c>
      <c r="F97" s="46" t="str">
        <f>IF(E97="Y",D97,"")</f>
        <v/>
      </c>
    </row>
    <row r="98">
      <c r="A98" s="46" t="inlineStr">
        <is>
          <t>W02</t>
        </is>
      </c>
      <c r="B98" s="46" t="n">
        <v>47</v>
      </c>
      <c r="C98" s="47" t="n">
        <v>73</v>
      </c>
      <c r="D98" s="47" t="n">
        <v>92.34</v>
      </c>
      <c r="E98" s="46" t="str">
        <f>IF(C98&lt;=72.0,"Y","N")</f>
        <v>N</v>
      </c>
      <c r="F98" s="46" t="str">
        <f>IF(E98="Y",D98,"")</f>
        <v/>
      </c>
    </row>
    <row r="99">
      <c r="A99" s="46" t="inlineStr">
        <is>
          <t>W02</t>
        </is>
      </c>
      <c r="B99" s="46" t="n">
        <v>48</v>
      </c>
      <c r="C99" s="47" t="n">
        <v>73</v>
      </c>
      <c r="D99" s="47" t="n">
        <v>91.31</v>
      </c>
      <c r="E99" s="46" t="str">
        <f>IF(C99&lt;=72.0,"Y","N")</f>
        <v>N</v>
      </c>
      <c r="F99" s="46" t="str">
        <f>IF(E99="Y",D99,"")</f>
        <v/>
      </c>
    </row>
    <row r="100">
      <c r="A100" s="46" t="inlineStr">
        <is>
          <t>W02</t>
        </is>
      </c>
      <c r="B100" s="46" t="n">
        <v>49</v>
      </c>
      <c r="C100" s="47" t="n">
        <v>73</v>
      </c>
      <c r="D100" s="47" t="n">
        <v>92.19</v>
      </c>
      <c r="E100" s="46" t="str">
        <f>IF(C100&lt;=72.0,"Y","N")</f>
        <v>N</v>
      </c>
      <c r="F100" s="46" t="str">
        <f>IF(E100="Y",D100,"")</f>
        <v/>
      </c>
    </row>
    <row r="101">
      <c r="A101" s="46" t="inlineStr">
        <is>
          <t>W03</t>
        </is>
      </c>
      <c r="B101" s="46" t="n">
        <v>1</v>
      </c>
      <c r="C101" s="47" t="n">
        <v>0</v>
      </c>
      <c r="D101" s="47" t="n">
        <v>81.66</v>
      </c>
      <c r="E101" s="46" t="str">
        <f>IF(C101&lt;=72.0,"Y","N")</f>
        <v>Y</v>
      </c>
      <c r="F101" s="46">
        <f>IF(E101="Y",D101,"")</f>
        <v>81.66</v>
      </c>
    </row>
    <row r="102">
      <c r="A102" s="46" t="inlineStr">
        <is>
          <t>W03</t>
        </is>
      </c>
      <c r="B102" s="46" t="n">
        <v>2</v>
      </c>
      <c r="C102" s="47" t="n">
        <v>22</v>
      </c>
      <c r="D102" s="47" t="n">
        <v>83.47</v>
      </c>
      <c r="E102" s="46" t="str">
        <f>IF(C102&lt;=72.0,"Y","N")</f>
        <v>Y</v>
      </c>
      <c r="F102" s="46">
        <f>IF(E102="Y",D102,"")</f>
        <v>83.47</v>
      </c>
    </row>
    <row r="103">
      <c r="A103" s="46" t="inlineStr">
        <is>
          <t>W03</t>
        </is>
      </c>
      <c r="B103" s="46" t="n">
        <v>3</v>
      </c>
      <c r="C103" s="47" t="n">
        <v>22</v>
      </c>
      <c r="D103" s="47" t="n">
        <v>83.22</v>
      </c>
      <c r="E103" s="46" t="str">
        <f>IF(C103&lt;=72.0,"Y","N")</f>
        <v>Y</v>
      </c>
      <c r="F103" s="46">
        <f>IF(E103="Y",D103,"")</f>
        <v>83.22</v>
      </c>
    </row>
    <row r="104">
      <c r="A104" s="46" t="inlineStr">
        <is>
          <t>W03</t>
        </is>
      </c>
      <c r="B104" s="46" t="n">
        <v>4</v>
      </c>
      <c r="C104" s="47" t="n">
        <v>22</v>
      </c>
      <c r="D104" s="47" t="n">
        <v>83.89</v>
      </c>
      <c r="E104" s="46" t="str">
        <f>IF(C104&lt;=72.0,"Y","N")</f>
        <v>Y</v>
      </c>
      <c r="F104" s="46">
        <f>IF(E104="Y",D104,"")</f>
        <v>83.89</v>
      </c>
    </row>
    <row r="105">
      <c r="A105" s="46" t="inlineStr">
        <is>
          <t>W03</t>
        </is>
      </c>
      <c r="B105" s="46" t="n">
        <v>5</v>
      </c>
      <c r="C105" s="47" t="n">
        <v>22</v>
      </c>
      <c r="D105" s="47" t="n">
        <v>82.94</v>
      </c>
      <c r="E105" s="46" t="str">
        <f>IF(C105&lt;=72.0,"Y","N")</f>
        <v>Y</v>
      </c>
      <c r="F105" s="46">
        <f>IF(E105="Y",D105,"")</f>
        <v>82.94</v>
      </c>
    </row>
    <row r="106">
      <c r="A106" s="46" t="inlineStr">
        <is>
          <t>W03</t>
        </is>
      </c>
      <c r="B106" s="46" t="n">
        <v>6</v>
      </c>
      <c r="C106" s="47" t="n">
        <v>22</v>
      </c>
      <c r="D106" s="47" t="n">
        <v>83.85</v>
      </c>
      <c r="E106" s="46" t="str">
        <f>IF(C106&lt;=72.0,"Y","N")</f>
        <v>Y</v>
      </c>
      <c r="F106" s="46">
        <f>IF(E106="Y",D106,"")</f>
        <v>83.85</v>
      </c>
    </row>
    <row r="107">
      <c r="A107" s="46" t="inlineStr">
        <is>
          <t>W03</t>
        </is>
      </c>
      <c r="B107" s="46" t="n">
        <v>7</v>
      </c>
      <c r="C107" s="47" t="n">
        <v>22</v>
      </c>
      <c r="D107" s="47" t="n">
        <v>83.45</v>
      </c>
      <c r="E107" s="46" t="str">
        <f>IF(C107&lt;=72.0,"Y","N")</f>
        <v>Y</v>
      </c>
      <c r="F107" s="46">
        <f>IF(E107="Y",D107,"")</f>
        <v>83.45</v>
      </c>
    </row>
    <row r="108">
      <c r="A108" s="46" t="inlineStr">
        <is>
          <t>W03</t>
        </is>
      </c>
      <c r="B108" s="46" t="n">
        <v>8</v>
      </c>
      <c r="C108" s="47" t="n">
        <v>22</v>
      </c>
      <c r="D108" s="47" t="n">
        <v>82.85</v>
      </c>
      <c r="E108" s="46" t="str">
        <f>IF(C108&lt;=72.0,"Y","N")</f>
        <v>Y</v>
      </c>
      <c r="F108" s="46">
        <f>IF(E108="Y",D108,"")</f>
        <v>82.85</v>
      </c>
    </row>
    <row r="109">
      <c r="A109" s="46" t="inlineStr">
        <is>
          <t>W03</t>
        </is>
      </c>
      <c r="B109" s="46" t="n">
        <v>9</v>
      </c>
      <c r="C109" s="47" t="n">
        <v>22</v>
      </c>
      <c r="D109" s="47" t="n">
        <v>82.69</v>
      </c>
      <c r="E109" s="46" t="str">
        <f>IF(C109&lt;=72.0,"Y","N")</f>
        <v>Y</v>
      </c>
      <c r="F109" s="46">
        <f>IF(E109="Y",D109,"")</f>
        <v>82.69</v>
      </c>
    </row>
    <row r="110">
      <c r="A110" s="46" t="inlineStr">
        <is>
          <t>W03</t>
        </is>
      </c>
      <c r="B110" s="46" t="n">
        <v>10</v>
      </c>
      <c r="C110" s="47" t="n">
        <v>40</v>
      </c>
      <c r="D110" s="47" t="n">
        <v>84.9</v>
      </c>
      <c r="E110" s="46" t="str">
        <f>IF(C110&lt;=72.0,"Y","N")</f>
        <v>Y</v>
      </c>
      <c r="F110" s="46">
        <f>IF(E110="Y",D110,"")</f>
        <v>84.9</v>
      </c>
    </row>
    <row r="111">
      <c r="A111" s="46" t="inlineStr">
        <is>
          <t>W03</t>
        </is>
      </c>
      <c r="B111" s="46" t="n">
        <v>11</v>
      </c>
      <c r="C111" s="47" t="n">
        <v>40</v>
      </c>
      <c r="D111" s="47" t="n">
        <v>85.52</v>
      </c>
      <c r="E111" s="46" t="str">
        <f>IF(C111&lt;=72.0,"Y","N")</f>
        <v>Y</v>
      </c>
      <c r="F111" s="46">
        <f>IF(E111="Y",D111,"")</f>
        <v>85.52</v>
      </c>
    </row>
    <row r="112">
      <c r="A112" s="46" t="inlineStr">
        <is>
          <t>W03</t>
        </is>
      </c>
      <c r="B112" s="46" t="n">
        <v>12</v>
      </c>
      <c r="C112" s="47" t="n">
        <v>40</v>
      </c>
      <c r="D112" s="47" t="n">
        <v>85.04</v>
      </c>
      <c r="E112" s="46" t="str">
        <f>IF(C112&lt;=72.0,"Y","N")</f>
        <v>Y</v>
      </c>
      <c r="F112" s="46">
        <f>IF(E112="Y",D112,"")</f>
        <v>85.04</v>
      </c>
    </row>
    <row r="113">
      <c r="A113" s="46" t="inlineStr">
        <is>
          <t>W03</t>
        </is>
      </c>
      <c r="B113" s="46" t="n">
        <v>13</v>
      </c>
      <c r="C113" s="47" t="n">
        <v>40</v>
      </c>
      <c r="D113" s="47" t="n">
        <v>85.01</v>
      </c>
      <c r="E113" s="46" t="str">
        <f>IF(C113&lt;=72.0,"Y","N")</f>
        <v>Y</v>
      </c>
      <c r="F113" s="46">
        <f>IF(E113="Y",D113,"")</f>
        <v>85.01</v>
      </c>
    </row>
    <row r="114">
      <c r="A114" s="46" t="inlineStr">
        <is>
          <t>W03</t>
        </is>
      </c>
      <c r="B114" s="46" t="n">
        <v>14</v>
      </c>
      <c r="C114" s="47" t="n">
        <v>40</v>
      </c>
      <c r="D114" s="47" t="n">
        <v>85.75</v>
      </c>
      <c r="E114" s="46" t="str">
        <f>IF(C114&lt;=72.0,"Y","N")</f>
        <v>Y</v>
      </c>
      <c r="F114" s="46">
        <f>IF(E114="Y",D114,"")</f>
        <v>85.75</v>
      </c>
    </row>
    <row r="115">
      <c r="A115" s="46" t="inlineStr">
        <is>
          <t>W03</t>
        </is>
      </c>
      <c r="B115" s="46" t="n">
        <v>15</v>
      </c>
      <c r="C115" s="47" t="n">
        <v>40</v>
      </c>
      <c r="D115" s="47" t="n">
        <v>85.47</v>
      </c>
      <c r="E115" s="46" t="str">
        <f>IF(C115&lt;=72.0,"Y","N")</f>
        <v>Y</v>
      </c>
      <c r="F115" s="46">
        <f>IF(E115="Y",D115,"")</f>
        <v>85.47</v>
      </c>
    </row>
    <row r="116">
      <c r="A116" s="46" t="inlineStr">
        <is>
          <t>W03</t>
        </is>
      </c>
      <c r="B116" s="46" t="n">
        <v>16</v>
      </c>
      <c r="C116" s="47" t="n">
        <v>40</v>
      </c>
      <c r="D116" s="47" t="n">
        <v>84.63</v>
      </c>
      <c r="E116" s="46" t="str">
        <f>IF(C116&lt;=72.0,"Y","N")</f>
        <v>Y</v>
      </c>
      <c r="F116" s="46">
        <f>IF(E116="Y",D116,"")</f>
        <v>84.63</v>
      </c>
    </row>
    <row r="117">
      <c r="A117" s="46" t="inlineStr">
        <is>
          <t>W03</t>
        </is>
      </c>
      <c r="B117" s="46" t="n">
        <v>17</v>
      </c>
      <c r="C117" s="47" t="n">
        <v>40</v>
      </c>
      <c r="D117" s="47" t="n">
        <v>85.59</v>
      </c>
      <c r="E117" s="46" t="str">
        <f>IF(C117&lt;=72.0,"Y","N")</f>
        <v>Y</v>
      </c>
      <c r="F117" s="46">
        <f>IF(E117="Y",D117,"")</f>
        <v>85.59</v>
      </c>
    </row>
    <row r="118">
      <c r="A118" s="46" t="inlineStr">
        <is>
          <t>W03</t>
        </is>
      </c>
      <c r="B118" s="46" t="n">
        <v>18</v>
      </c>
      <c r="C118" s="47" t="n">
        <v>40</v>
      </c>
      <c r="D118" s="47" t="n">
        <v>85.69</v>
      </c>
      <c r="E118" s="46" t="str">
        <f>IF(C118&lt;=72.0,"Y","N")</f>
        <v>Y</v>
      </c>
      <c r="F118" s="46">
        <f>IF(E118="Y",D118,"")</f>
        <v>85.69</v>
      </c>
    </row>
    <row r="119">
      <c r="A119" s="46" t="inlineStr">
        <is>
          <t>W03</t>
        </is>
      </c>
      <c r="B119" s="46" t="n">
        <v>19</v>
      </c>
      <c r="C119" s="47" t="n">
        <v>40</v>
      </c>
      <c r="D119" s="47" t="n">
        <v>85.8</v>
      </c>
      <c r="E119" s="46" t="str">
        <f>IF(C119&lt;=72.0,"Y","N")</f>
        <v>Y</v>
      </c>
      <c r="F119" s="46">
        <f>IF(E119="Y",D119,"")</f>
        <v>85.8</v>
      </c>
    </row>
    <row r="120">
      <c r="A120" s="46" t="inlineStr">
        <is>
          <t>W03</t>
        </is>
      </c>
      <c r="B120" s="46" t="n">
        <v>20</v>
      </c>
      <c r="C120" s="47" t="n">
        <v>40</v>
      </c>
      <c r="D120" s="47" t="n">
        <v>84.39</v>
      </c>
      <c r="E120" s="46" t="str">
        <f>IF(C120&lt;=72.0,"Y","N")</f>
        <v>Y</v>
      </c>
      <c r="F120" s="46">
        <f>IF(E120="Y",D120,"")</f>
        <v>84.39</v>
      </c>
    </row>
    <row r="121">
      <c r="A121" s="46" t="inlineStr">
        <is>
          <t>W03</t>
        </is>
      </c>
      <c r="B121" s="46" t="n">
        <v>21</v>
      </c>
      <c r="C121" s="47" t="n">
        <v>40</v>
      </c>
      <c r="D121" s="47" t="n">
        <v>84.76</v>
      </c>
      <c r="E121" s="46" t="str">
        <f>IF(C121&lt;=72.0,"Y","N")</f>
        <v>Y</v>
      </c>
      <c r="F121" s="46">
        <f>IF(E121="Y",D121,"")</f>
        <v>84.76</v>
      </c>
    </row>
    <row r="122">
      <c r="A122" s="46" t="inlineStr">
        <is>
          <t>W03</t>
        </is>
      </c>
      <c r="B122" s="46" t="n">
        <v>22</v>
      </c>
      <c r="C122" s="47" t="n">
        <v>58</v>
      </c>
      <c r="D122" s="47" t="n">
        <v>88.13</v>
      </c>
      <c r="E122" s="46" t="str">
        <f>IF(C122&lt;=72.0,"Y","N")</f>
        <v>Y</v>
      </c>
      <c r="F122" s="46">
        <f>IF(E122="Y",D122,"")</f>
        <v>88.13</v>
      </c>
    </row>
    <row r="123">
      <c r="A123" s="46" t="inlineStr">
        <is>
          <t>W03</t>
        </is>
      </c>
      <c r="B123" s="46" t="n">
        <v>23</v>
      </c>
      <c r="C123" s="47" t="n">
        <v>58</v>
      </c>
      <c r="D123" s="47" t="n">
        <v>87.82</v>
      </c>
      <c r="E123" s="46" t="str">
        <f>IF(C123&lt;=72.0,"Y","N")</f>
        <v>Y</v>
      </c>
      <c r="F123" s="46">
        <f>IF(E123="Y",D123,"")</f>
        <v>87.82</v>
      </c>
    </row>
    <row r="124">
      <c r="A124" s="46" t="inlineStr">
        <is>
          <t>W03</t>
        </is>
      </c>
      <c r="B124" s="46" t="n">
        <v>24</v>
      </c>
      <c r="C124" s="47" t="n">
        <v>58</v>
      </c>
      <c r="D124" s="47" t="n">
        <v>88.85</v>
      </c>
      <c r="E124" s="46" t="str">
        <f>IF(C124&lt;=72.0,"Y","N")</f>
        <v>Y</v>
      </c>
      <c r="F124" s="46">
        <f>IF(E124="Y",D124,"")</f>
        <v>88.85</v>
      </c>
    </row>
    <row r="125">
      <c r="A125" s="46" t="inlineStr">
        <is>
          <t>W03</t>
        </is>
      </c>
      <c r="B125" s="46" t="n">
        <v>25</v>
      </c>
      <c r="C125" s="47" t="n">
        <v>58</v>
      </c>
      <c r="D125" s="47" t="n">
        <v>88.79</v>
      </c>
      <c r="E125" s="46" t="str">
        <f>IF(C125&lt;=72.0,"Y","N")</f>
        <v>Y</v>
      </c>
      <c r="F125" s="46">
        <f>IF(E125="Y",D125,"")</f>
        <v>88.79</v>
      </c>
    </row>
    <row r="126">
      <c r="A126" s="46" t="inlineStr">
        <is>
          <t>W03</t>
        </is>
      </c>
      <c r="B126" s="46" t="n">
        <v>26</v>
      </c>
      <c r="C126" s="47" t="n">
        <v>58</v>
      </c>
      <c r="D126" s="47" t="n">
        <v>88.51</v>
      </c>
      <c r="E126" s="46" t="str">
        <f>IF(C126&lt;=72.0,"Y","N")</f>
        <v>Y</v>
      </c>
      <c r="F126" s="46">
        <f>IF(E126="Y",D126,"")</f>
        <v>88.51</v>
      </c>
    </row>
    <row r="127">
      <c r="A127" s="46" t="inlineStr">
        <is>
          <t>W03</t>
        </is>
      </c>
      <c r="B127" s="46" t="n">
        <v>27</v>
      </c>
      <c r="C127" s="47" t="n">
        <v>58</v>
      </c>
      <c r="D127" s="47" t="n">
        <v>88.35</v>
      </c>
      <c r="E127" s="46" t="str">
        <f>IF(C127&lt;=72.0,"Y","N")</f>
        <v>Y</v>
      </c>
      <c r="F127" s="46">
        <f>IF(E127="Y",D127,"")</f>
        <v>88.35</v>
      </c>
    </row>
    <row r="128">
      <c r="A128" s="46" t="inlineStr">
        <is>
          <t>W03</t>
        </is>
      </c>
      <c r="B128" s="46" t="n">
        <v>28</v>
      </c>
      <c r="C128" s="47" t="n">
        <v>58</v>
      </c>
      <c r="D128" s="47" t="n">
        <v>88.09</v>
      </c>
      <c r="E128" s="46" t="str">
        <f>IF(C128&lt;=72.0,"Y","N")</f>
        <v>Y</v>
      </c>
      <c r="F128" s="46">
        <f>IF(E128="Y",D128,"")</f>
        <v>88.09</v>
      </c>
    </row>
    <row r="129">
      <c r="A129" s="46" t="inlineStr">
        <is>
          <t>W03</t>
        </is>
      </c>
      <c r="B129" s="46" t="n">
        <v>29</v>
      </c>
      <c r="C129" s="47" t="n">
        <v>58</v>
      </c>
      <c r="D129" s="47" t="n">
        <v>88.86</v>
      </c>
      <c r="E129" s="46" t="str">
        <f>IF(C129&lt;=72.0,"Y","N")</f>
        <v>Y</v>
      </c>
      <c r="F129" s="46">
        <f>IF(E129="Y",D129,"")</f>
        <v>88.86</v>
      </c>
    </row>
    <row r="130">
      <c r="A130" s="46" t="inlineStr">
        <is>
          <t>W03</t>
        </is>
      </c>
      <c r="B130" s="46" t="n">
        <v>30</v>
      </c>
      <c r="C130" s="47" t="n">
        <v>58</v>
      </c>
      <c r="D130" s="47" t="n">
        <v>88.69</v>
      </c>
      <c r="E130" s="46" t="str">
        <f>IF(C130&lt;=72.0,"Y","N")</f>
        <v>Y</v>
      </c>
      <c r="F130" s="46">
        <f>IF(E130="Y",D130,"")</f>
        <v>88.69</v>
      </c>
    </row>
    <row r="131">
      <c r="A131" s="46" t="inlineStr">
        <is>
          <t>W03</t>
        </is>
      </c>
      <c r="B131" s="46" t="n">
        <v>31</v>
      </c>
      <c r="C131" s="47" t="n">
        <v>58</v>
      </c>
      <c r="D131" s="47" t="n">
        <v>88.64</v>
      </c>
      <c r="E131" s="46" t="str">
        <f>IF(C131&lt;=72.0,"Y","N")</f>
        <v>Y</v>
      </c>
      <c r="F131" s="46">
        <f>IF(E131="Y",D131,"")</f>
        <v>88.64</v>
      </c>
    </row>
    <row r="132">
      <c r="A132" s="46" t="inlineStr">
        <is>
          <t>W03</t>
        </is>
      </c>
      <c r="B132" s="46" t="n">
        <v>32</v>
      </c>
      <c r="C132" s="47" t="n">
        <v>58</v>
      </c>
      <c r="D132" s="47" t="n">
        <v>88.47</v>
      </c>
      <c r="E132" s="46" t="str">
        <f>IF(C132&lt;=72.0,"Y","N")</f>
        <v>Y</v>
      </c>
      <c r="F132" s="46">
        <f>IF(E132="Y",D132,"")</f>
        <v>88.47</v>
      </c>
    </row>
    <row r="133">
      <c r="A133" s="46" t="inlineStr">
        <is>
          <t>W03</t>
        </is>
      </c>
      <c r="B133" s="46" t="n">
        <v>33</v>
      </c>
      <c r="C133" s="47" t="n">
        <v>58</v>
      </c>
      <c r="D133" s="47" t="n">
        <v>87.64</v>
      </c>
      <c r="E133" s="46" t="str">
        <f>IF(C133&lt;=72.0,"Y","N")</f>
        <v>Y</v>
      </c>
      <c r="F133" s="46">
        <f>IF(E133="Y",D133,"")</f>
        <v>87.64</v>
      </c>
    </row>
    <row r="134">
      <c r="A134" s="46" t="inlineStr">
        <is>
          <t>W03</t>
        </is>
      </c>
      <c r="B134" s="46" t="n">
        <v>34</v>
      </c>
      <c r="C134" s="47" t="n">
        <v>73</v>
      </c>
      <c r="D134" s="47" t="n">
        <v>91.77</v>
      </c>
      <c r="E134" s="46" t="str">
        <f>IF(C134&lt;=72.0,"Y","N")</f>
        <v>N</v>
      </c>
      <c r="F134" s="46" t="str">
        <f>IF(E134="Y",D134,"")</f>
        <v/>
      </c>
    </row>
    <row r="135">
      <c r="A135" s="46" t="inlineStr">
        <is>
          <t>W03</t>
        </is>
      </c>
      <c r="B135" s="46" t="n">
        <v>35</v>
      </c>
      <c r="C135" s="47" t="n">
        <v>73</v>
      </c>
      <c r="D135" s="47" t="n">
        <v>91.8</v>
      </c>
      <c r="E135" s="46" t="str">
        <f>IF(C135&lt;=72.0,"Y","N")</f>
        <v>N</v>
      </c>
      <c r="F135" s="46" t="str">
        <f>IF(E135="Y",D135,"")</f>
        <v/>
      </c>
    </row>
    <row r="136">
      <c r="A136" s="46" t="inlineStr">
        <is>
          <t>W03</t>
        </is>
      </c>
      <c r="B136" s="46" t="n">
        <v>36</v>
      </c>
      <c r="C136" s="47" t="n">
        <v>73</v>
      </c>
      <c r="D136" s="47" t="n">
        <v>92.5</v>
      </c>
      <c r="E136" s="46" t="str">
        <f>IF(C136&lt;=72.0,"Y","N")</f>
        <v>N</v>
      </c>
      <c r="F136" s="46" t="str">
        <f>IF(E136="Y",D136,"")</f>
        <v/>
      </c>
    </row>
    <row r="137">
      <c r="A137" s="46" t="inlineStr">
        <is>
          <t>W03</t>
        </is>
      </c>
      <c r="B137" s="46" t="n">
        <v>37</v>
      </c>
      <c r="C137" s="47" t="n">
        <v>73</v>
      </c>
      <c r="D137" s="47" t="n">
        <v>92.31</v>
      </c>
      <c r="E137" s="46" t="str">
        <f>IF(C137&lt;=72.0,"Y","N")</f>
        <v>N</v>
      </c>
      <c r="F137" s="46" t="str">
        <f>IF(E137="Y",D137,"")</f>
        <v/>
      </c>
    </row>
    <row r="138">
      <c r="A138" s="46" t="inlineStr">
        <is>
          <t>W03</t>
        </is>
      </c>
      <c r="B138" s="46" t="n">
        <v>38</v>
      </c>
      <c r="C138" s="47" t="n">
        <v>73</v>
      </c>
      <c r="D138" s="47" t="n">
        <v>91.26</v>
      </c>
      <c r="E138" s="46" t="str">
        <f>IF(C138&lt;=72.0,"Y","N")</f>
        <v>N</v>
      </c>
      <c r="F138" s="46" t="str">
        <f>IF(E138="Y",D138,"")</f>
        <v/>
      </c>
    </row>
    <row r="139">
      <c r="A139" s="46" t="inlineStr">
        <is>
          <t>W03</t>
        </is>
      </c>
      <c r="B139" s="46" t="n">
        <v>39</v>
      </c>
      <c r="C139" s="47" t="n">
        <v>73</v>
      </c>
      <c r="D139" s="47" t="n">
        <v>91.19</v>
      </c>
      <c r="E139" s="46" t="str">
        <f>IF(C139&lt;=72.0,"Y","N")</f>
        <v>N</v>
      </c>
      <c r="F139" s="46" t="str">
        <f>IF(E139="Y",D139,"")</f>
        <v/>
      </c>
    </row>
    <row r="140">
      <c r="A140" s="46" t="inlineStr">
        <is>
          <t>W03</t>
        </is>
      </c>
      <c r="B140" s="46" t="n">
        <v>40</v>
      </c>
      <c r="C140" s="47" t="n">
        <v>73</v>
      </c>
      <c r="D140" s="47" t="n">
        <v>92.17</v>
      </c>
      <c r="E140" s="46" t="str">
        <f>IF(C140&lt;=72.0,"Y","N")</f>
        <v>N</v>
      </c>
      <c r="F140" s="46" t="str">
        <f>IF(E140="Y",D140,"")</f>
        <v/>
      </c>
    </row>
    <row r="141">
      <c r="A141" s="46" t="inlineStr">
        <is>
          <t>W03</t>
        </is>
      </c>
      <c r="B141" s="46" t="n">
        <v>41</v>
      </c>
      <c r="C141" s="47" t="n">
        <v>73</v>
      </c>
      <c r="D141" s="47" t="n">
        <v>91.31</v>
      </c>
      <c r="E141" s="46" t="str">
        <f>IF(C141&lt;=72.0,"Y","N")</f>
        <v>N</v>
      </c>
      <c r="F141" s="46" t="str">
        <f>IF(E141="Y",D141,"")</f>
        <v/>
      </c>
    </row>
    <row r="142">
      <c r="A142" s="46" t="inlineStr">
        <is>
          <t>W03</t>
        </is>
      </c>
      <c r="B142" s="46" t="n">
        <v>42</v>
      </c>
      <c r="C142" s="47" t="n">
        <v>73</v>
      </c>
      <c r="D142" s="47" t="n">
        <v>91.12</v>
      </c>
      <c r="E142" s="46" t="str">
        <f>IF(C142&lt;=72.0,"Y","N")</f>
        <v>N</v>
      </c>
      <c r="F142" s="46" t="str">
        <f>IF(E142="Y",D142,"")</f>
        <v/>
      </c>
    </row>
    <row r="143">
      <c r="A143" s="46" t="inlineStr">
        <is>
          <t>W03</t>
        </is>
      </c>
      <c r="B143" s="46" t="n">
        <v>43</v>
      </c>
      <c r="C143" s="47" t="n">
        <v>73</v>
      </c>
      <c r="D143" s="47" t="n">
        <v>92.55</v>
      </c>
      <c r="E143" s="46" t="str">
        <f>IF(C143&lt;=72.0,"Y","N")</f>
        <v>N</v>
      </c>
      <c r="F143" s="46" t="str">
        <f>IF(E143="Y",D143,"")</f>
        <v/>
      </c>
    </row>
    <row r="144">
      <c r="A144" s="46" t="inlineStr">
        <is>
          <t>W03</t>
        </is>
      </c>
      <c r="B144" s="46" t="n">
        <v>44</v>
      </c>
      <c r="C144" s="47" t="n">
        <v>73</v>
      </c>
      <c r="D144" s="47" t="n">
        <v>91.81</v>
      </c>
      <c r="E144" s="46" t="str">
        <f>IF(C144&lt;=72.0,"Y","N")</f>
        <v>N</v>
      </c>
      <c r="F144" s="46" t="str">
        <f>IF(E144="Y",D144,"")</f>
        <v/>
      </c>
    </row>
    <row r="145">
      <c r="A145" s="46" t="inlineStr">
        <is>
          <t>W03</t>
        </is>
      </c>
      <c r="B145" s="46" t="n">
        <v>45</v>
      </c>
      <c r="C145" s="47" t="n">
        <v>73</v>
      </c>
      <c r="D145" s="47" t="n">
        <v>91.83</v>
      </c>
      <c r="E145" s="46" t="str">
        <f>IF(C145&lt;=72.0,"Y","N")</f>
        <v>N</v>
      </c>
      <c r="F145" s="46" t="str">
        <f>IF(E145="Y",D145,"")</f>
        <v/>
      </c>
    </row>
    <row r="146">
      <c r="A146" s="46" t="inlineStr">
        <is>
          <t>W03</t>
        </is>
      </c>
      <c r="B146" s="46" t="n">
        <v>46</v>
      </c>
      <c r="C146" s="47" t="n">
        <v>73</v>
      </c>
      <c r="D146" s="47" t="n">
        <v>91.35</v>
      </c>
      <c r="E146" s="46" t="str">
        <f>IF(C146&lt;=72.0,"Y","N")</f>
        <v>N</v>
      </c>
      <c r="F146" s="46" t="str">
        <f>IF(E146="Y",D146,"")</f>
        <v/>
      </c>
    </row>
    <row r="147">
      <c r="A147" s="46" t="inlineStr">
        <is>
          <t>W03</t>
        </is>
      </c>
      <c r="B147" s="46" t="n">
        <v>47</v>
      </c>
      <c r="C147" s="47" t="n">
        <v>73</v>
      </c>
      <c r="D147" s="47" t="n">
        <v>92.34</v>
      </c>
      <c r="E147" s="46" t="str">
        <f>IF(C147&lt;=72.0,"Y","N")</f>
        <v>N</v>
      </c>
      <c r="F147" s="46" t="str">
        <f>IF(E147="Y",D147,"")</f>
        <v/>
      </c>
    </row>
    <row r="148">
      <c r="A148" s="46" t="inlineStr">
        <is>
          <t>W03</t>
        </is>
      </c>
      <c r="B148" s="46" t="n">
        <v>48</v>
      </c>
      <c r="C148" s="47" t="n">
        <v>73</v>
      </c>
      <c r="D148" s="47" t="n">
        <v>91.89</v>
      </c>
      <c r="E148" s="46" t="str">
        <f>IF(C148&lt;=72.0,"Y","N")</f>
        <v>N</v>
      </c>
      <c r="F148" s="46" t="str">
        <f>IF(E148="Y",D148,"")</f>
        <v/>
      </c>
    </row>
    <row r="149">
      <c r="A149" s="46" t="inlineStr">
        <is>
          <t>W03</t>
        </is>
      </c>
      <c r="B149" s="46" t="n">
        <v>49</v>
      </c>
      <c r="C149" s="47" t="n">
        <v>73</v>
      </c>
      <c r="D149" s="47" t="n">
        <v>91.35</v>
      </c>
      <c r="E149" s="46" t="str">
        <f>IF(C149&lt;=72.0,"Y","N")</f>
        <v>N</v>
      </c>
      <c r="F149" s="46" t="str">
        <f>IF(E149="Y",D149,"")</f>
        <v/>
      </c>
    </row>
    <row r="150">
      <c r="A150" s="46" t="inlineStr">
        <is>
          <t>W04</t>
        </is>
      </c>
      <c r="B150" s="46" t="n">
        <v>1</v>
      </c>
      <c r="C150" s="47" t="n">
        <v>0</v>
      </c>
      <c r="D150" s="47" t="n">
        <v>82.5</v>
      </c>
      <c r="E150" s="46" t="str">
        <f>IF(C150&lt;=72.0,"Y","N")</f>
        <v>Y</v>
      </c>
      <c r="F150" s="46">
        <f>IF(E150="Y",D150,"")</f>
        <v>82.5</v>
      </c>
    </row>
    <row r="151">
      <c r="A151" s="46" t="inlineStr">
        <is>
          <t>W04</t>
        </is>
      </c>
      <c r="B151" s="46" t="n">
        <v>2</v>
      </c>
      <c r="C151" s="47" t="n">
        <v>22</v>
      </c>
      <c r="D151" s="47" t="n">
        <v>83.25</v>
      </c>
      <c r="E151" s="46" t="str">
        <f>IF(C151&lt;=72.0,"Y","N")</f>
        <v>Y</v>
      </c>
      <c r="F151" s="46">
        <f>IF(E151="Y",D151,"")</f>
        <v>83.25</v>
      </c>
    </row>
    <row r="152">
      <c r="A152" s="46" t="inlineStr">
        <is>
          <t>W04</t>
        </is>
      </c>
      <c r="B152" s="46" t="n">
        <v>3</v>
      </c>
      <c r="C152" s="47" t="n">
        <v>22</v>
      </c>
      <c r="D152" s="47" t="n">
        <v>82.15</v>
      </c>
      <c r="E152" s="46" t="str">
        <f>IF(C152&lt;=72.0,"Y","N")</f>
        <v>Y</v>
      </c>
      <c r="F152" s="46">
        <f>IF(E152="Y",D152,"")</f>
        <v>82.15</v>
      </c>
    </row>
    <row r="153">
      <c r="A153" s="46" t="inlineStr">
        <is>
          <t>W04</t>
        </is>
      </c>
      <c r="B153" s="46" t="n">
        <v>4</v>
      </c>
      <c r="C153" s="47" t="n">
        <v>22</v>
      </c>
      <c r="D153" s="47" t="n">
        <v>83.48</v>
      </c>
      <c r="E153" s="46" t="str">
        <f>IF(C153&lt;=72.0,"Y","N")</f>
        <v>Y</v>
      </c>
      <c r="F153" s="46">
        <f>IF(E153="Y",D153,"")</f>
        <v>83.48</v>
      </c>
    </row>
    <row r="154">
      <c r="A154" s="46" t="inlineStr">
        <is>
          <t>W04</t>
        </is>
      </c>
      <c r="B154" s="46" t="n">
        <v>5</v>
      </c>
      <c r="C154" s="47" t="n">
        <v>22</v>
      </c>
      <c r="D154" s="47" t="n">
        <v>83.01</v>
      </c>
      <c r="E154" s="46" t="str">
        <f>IF(C154&lt;=72.0,"Y","N")</f>
        <v>Y</v>
      </c>
      <c r="F154" s="46">
        <f>IF(E154="Y",D154,"")</f>
        <v>83.01</v>
      </c>
    </row>
    <row r="155">
      <c r="A155" s="46" t="inlineStr">
        <is>
          <t>W04</t>
        </is>
      </c>
      <c r="B155" s="46" t="n">
        <v>6</v>
      </c>
      <c r="C155" s="47" t="n">
        <v>22</v>
      </c>
      <c r="D155" s="47" t="n">
        <v>82.7</v>
      </c>
      <c r="E155" s="46" t="str">
        <f>IF(C155&lt;=72.0,"Y","N")</f>
        <v>Y</v>
      </c>
      <c r="F155" s="46">
        <f>IF(E155="Y",D155,"")</f>
        <v>82.7</v>
      </c>
    </row>
    <row r="156">
      <c r="A156" s="46" t="inlineStr">
        <is>
          <t>W04</t>
        </is>
      </c>
      <c r="B156" s="46" t="n">
        <v>7</v>
      </c>
      <c r="C156" s="47" t="n">
        <v>22</v>
      </c>
      <c r="D156" s="47" t="n">
        <v>82.73</v>
      </c>
      <c r="E156" s="46" t="str">
        <f>IF(C156&lt;=72.0,"Y","N")</f>
        <v>Y</v>
      </c>
      <c r="F156" s="46">
        <f>IF(E156="Y",D156,"")</f>
        <v>82.73</v>
      </c>
    </row>
    <row r="157">
      <c r="A157" s="46" t="inlineStr">
        <is>
          <t>W04</t>
        </is>
      </c>
      <c r="B157" s="46" t="n">
        <v>8</v>
      </c>
      <c r="C157" s="47" t="n">
        <v>22</v>
      </c>
      <c r="D157" s="47" t="n">
        <v>83.59</v>
      </c>
      <c r="E157" s="46" t="str">
        <f>IF(C157&lt;=72.0,"Y","N")</f>
        <v>Y</v>
      </c>
      <c r="F157" s="46">
        <f>IF(E157="Y",D157,"")</f>
        <v>83.59</v>
      </c>
    </row>
    <row r="158">
      <c r="A158" s="46" t="inlineStr">
        <is>
          <t>W04</t>
        </is>
      </c>
      <c r="B158" s="46" t="n">
        <v>9</v>
      </c>
      <c r="C158" s="47" t="n">
        <v>22</v>
      </c>
      <c r="D158" s="47" t="n">
        <v>83.44</v>
      </c>
      <c r="E158" s="46" t="str">
        <f>IF(C158&lt;=72.0,"Y","N")</f>
        <v>Y</v>
      </c>
      <c r="F158" s="46">
        <f>IF(E158="Y",D158,"")</f>
        <v>83.44</v>
      </c>
    </row>
    <row r="159">
      <c r="A159" s="46" t="inlineStr">
        <is>
          <t>W04</t>
        </is>
      </c>
      <c r="B159" s="46" t="n">
        <v>10</v>
      </c>
      <c r="C159" s="47" t="n">
        <v>40</v>
      </c>
      <c r="D159" s="47" t="n">
        <v>84.24</v>
      </c>
      <c r="E159" s="46" t="str">
        <f>IF(C159&lt;=72.0,"Y","N")</f>
        <v>Y</v>
      </c>
      <c r="F159" s="46">
        <f>IF(E159="Y",D159,"")</f>
        <v>84.24</v>
      </c>
    </row>
    <row r="160">
      <c r="A160" s="46" t="inlineStr">
        <is>
          <t>W04</t>
        </is>
      </c>
      <c r="B160" s="46" t="n">
        <v>11</v>
      </c>
      <c r="C160" s="47" t="n">
        <v>40</v>
      </c>
      <c r="D160" s="47" t="n">
        <v>85.29</v>
      </c>
      <c r="E160" s="46" t="str">
        <f>IF(C160&lt;=72.0,"Y","N")</f>
        <v>Y</v>
      </c>
      <c r="F160" s="46">
        <f>IF(E160="Y",D160,"")</f>
        <v>85.29</v>
      </c>
    </row>
    <row r="161">
      <c r="A161" s="46" t="inlineStr">
        <is>
          <t>W04</t>
        </is>
      </c>
      <c r="B161" s="46" t="n">
        <v>12</v>
      </c>
      <c r="C161" s="47" t="n">
        <v>40</v>
      </c>
      <c r="D161" s="47" t="n">
        <v>84.86</v>
      </c>
      <c r="E161" s="46" t="str">
        <f>IF(C161&lt;=72.0,"Y","N")</f>
        <v>Y</v>
      </c>
      <c r="F161" s="46">
        <f>IF(E161="Y",D161,"")</f>
        <v>84.86</v>
      </c>
    </row>
    <row r="162">
      <c r="A162" s="46" t="inlineStr">
        <is>
          <t>W04</t>
        </is>
      </c>
      <c r="B162" s="46" t="n">
        <v>13</v>
      </c>
      <c r="C162" s="47" t="n">
        <v>40</v>
      </c>
      <c r="D162" s="47" t="n">
        <v>85.58</v>
      </c>
      <c r="E162" s="46" t="str">
        <f>IF(C162&lt;=72.0,"Y","N")</f>
        <v>Y</v>
      </c>
      <c r="F162" s="46">
        <f>IF(E162="Y",D162,"")</f>
        <v>85.58</v>
      </c>
    </row>
    <row r="163">
      <c r="A163" s="46" t="inlineStr">
        <is>
          <t>W04</t>
        </is>
      </c>
      <c r="B163" s="46" t="n">
        <v>14</v>
      </c>
      <c r="C163" s="47" t="n">
        <v>40</v>
      </c>
      <c r="D163" s="47" t="n">
        <v>85.15</v>
      </c>
      <c r="E163" s="46" t="str">
        <f>IF(C163&lt;=72.0,"Y","N")</f>
        <v>Y</v>
      </c>
      <c r="F163" s="46">
        <f>IF(E163="Y",D163,"")</f>
        <v>85.15</v>
      </c>
    </row>
    <row r="164">
      <c r="A164" s="46" t="inlineStr">
        <is>
          <t>W04</t>
        </is>
      </c>
      <c r="B164" s="46" t="n">
        <v>15</v>
      </c>
      <c r="C164" s="47" t="n">
        <v>40</v>
      </c>
      <c r="D164" s="47" t="n">
        <v>84.42</v>
      </c>
      <c r="E164" s="46" t="str">
        <f>IF(C164&lt;=72.0,"Y","N")</f>
        <v>Y</v>
      </c>
      <c r="F164" s="46">
        <f>IF(E164="Y",D164,"")</f>
        <v>84.42</v>
      </c>
    </row>
    <row r="165">
      <c r="A165" s="46" t="inlineStr">
        <is>
          <t>W04</t>
        </is>
      </c>
      <c r="B165" s="46" t="n">
        <v>16</v>
      </c>
      <c r="C165" s="47" t="n">
        <v>40</v>
      </c>
      <c r="D165" s="47" t="n">
        <v>85.07</v>
      </c>
      <c r="E165" s="46" t="str">
        <f>IF(C165&lt;=72.0,"Y","N")</f>
        <v>Y</v>
      </c>
      <c r="F165" s="46">
        <f>IF(E165="Y",D165,"")</f>
        <v>85.07</v>
      </c>
    </row>
    <row r="166">
      <c r="A166" s="46" t="inlineStr">
        <is>
          <t>W04</t>
        </is>
      </c>
      <c r="B166" s="46" t="n">
        <v>17</v>
      </c>
      <c r="C166" s="47" t="n">
        <v>40</v>
      </c>
      <c r="D166" s="47" t="n">
        <v>85.35</v>
      </c>
      <c r="E166" s="46" t="str">
        <f>IF(C166&lt;=72.0,"Y","N")</f>
        <v>Y</v>
      </c>
      <c r="F166" s="46">
        <f>IF(E166="Y",D166,"")</f>
        <v>85.35</v>
      </c>
    </row>
    <row r="167">
      <c r="A167" s="46" t="inlineStr">
        <is>
          <t>W04</t>
        </is>
      </c>
      <c r="B167" s="46" t="n">
        <v>18</v>
      </c>
      <c r="C167" s="47" t="n">
        <v>40</v>
      </c>
      <c r="D167" s="47" t="n">
        <v>84.89</v>
      </c>
      <c r="E167" s="46" t="str">
        <f>IF(C167&lt;=72.0,"Y","N")</f>
        <v>Y</v>
      </c>
      <c r="F167" s="46">
        <f>IF(E167="Y",D167,"")</f>
        <v>84.89</v>
      </c>
    </row>
    <row r="168">
      <c r="A168" s="46" t="inlineStr">
        <is>
          <t>W04</t>
        </is>
      </c>
      <c r="B168" s="46" t="n">
        <v>19</v>
      </c>
      <c r="C168" s="47" t="n">
        <v>40</v>
      </c>
      <c r="D168" s="47" t="n">
        <v>84.77</v>
      </c>
      <c r="E168" s="46" t="str">
        <f>IF(C168&lt;=72.0,"Y","N")</f>
        <v>Y</v>
      </c>
      <c r="F168" s="46">
        <f>IF(E168="Y",D168,"")</f>
        <v>84.77</v>
      </c>
    </row>
    <row r="169">
      <c r="A169" s="46" t="inlineStr">
        <is>
          <t>W04</t>
        </is>
      </c>
      <c r="B169" s="46" t="n">
        <v>20</v>
      </c>
      <c r="C169" s="47" t="n">
        <v>40</v>
      </c>
      <c r="D169" s="47" t="n">
        <v>85.7</v>
      </c>
      <c r="E169" s="46" t="str">
        <f>IF(C169&lt;=72.0,"Y","N")</f>
        <v>Y</v>
      </c>
      <c r="F169" s="46">
        <f>IF(E169="Y",D169,"")</f>
        <v>85.7</v>
      </c>
    </row>
    <row r="170">
      <c r="A170" s="46" t="inlineStr">
        <is>
          <t>W04</t>
        </is>
      </c>
      <c r="B170" s="46" t="n">
        <v>21</v>
      </c>
      <c r="C170" s="47" t="n">
        <v>40</v>
      </c>
      <c r="D170" s="47" t="n">
        <v>85.23</v>
      </c>
      <c r="E170" s="46" t="str">
        <f>IF(C170&lt;=72.0,"Y","N")</f>
        <v>Y</v>
      </c>
      <c r="F170" s="46">
        <f>IF(E170="Y",D170,"")</f>
        <v>85.23</v>
      </c>
    </row>
    <row r="171">
      <c r="A171" s="46" t="inlineStr">
        <is>
          <t>W04</t>
        </is>
      </c>
      <c r="B171" s="46" t="n">
        <v>22</v>
      </c>
      <c r="C171" s="47" t="n">
        <v>58</v>
      </c>
      <c r="D171" s="47" t="n">
        <v>87.9</v>
      </c>
      <c r="E171" s="46" t="str">
        <f>IF(C171&lt;=72.0,"Y","N")</f>
        <v>Y</v>
      </c>
      <c r="F171" s="46">
        <f>IF(E171="Y",D171,"")</f>
        <v>87.9</v>
      </c>
    </row>
    <row r="172">
      <c r="A172" s="46" t="inlineStr">
        <is>
          <t>W04</t>
        </is>
      </c>
      <c r="B172" s="46" t="n">
        <v>23</v>
      </c>
      <c r="C172" s="47" t="n">
        <v>58</v>
      </c>
      <c r="D172" s="47" t="n">
        <v>87.78</v>
      </c>
      <c r="E172" s="46" t="str">
        <f>IF(C172&lt;=72.0,"Y","N")</f>
        <v>Y</v>
      </c>
      <c r="F172" s="46">
        <f>IF(E172="Y",D172,"")</f>
        <v>87.78</v>
      </c>
    </row>
    <row r="173">
      <c r="A173" s="46" t="inlineStr">
        <is>
          <t>W04</t>
        </is>
      </c>
      <c r="B173" s="46" t="n">
        <v>24</v>
      </c>
      <c r="C173" s="47" t="n">
        <v>58</v>
      </c>
      <c r="D173" s="47" t="n">
        <v>87.98</v>
      </c>
      <c r="E173" s="46" t="str">
        <f>IF(C173&lt;=72.0,"Y","N")</f>
        <v>Y</v>
      </c>
      <c r="F173" s="46">
        <f>IF(E173="Y",D173,"")</f>
        <v>87.98</v>
      </c>
    </row>
    <row r="174">
      <c r="A174" s="46" t="inlineStr">
        <is>
          <t>W04</t>
        </is>
      </c>
      <c r="B174" s="46" t="n">
        <v>25</v>
      </c>
      <c r="C174" s="47" t="n">
        <v>58</v>
      </c>
      <c r="D174" s="47" t="n">
        <v>87.43</v>
      </c>
      <c r="E174" s="46" t="str">
        <f>IF(C174&lt;=72.0,"Y","N")</f>
        <v>Y</v>
      </c>
      <c r="F174" s="46">
        <f>IF(E174="Y",D174,"")</f>
        <v>87.43</v>
      </c>
    </row>
    <row r="175">
      <c r="A175" s="46" t="inlineStr">
        <is>
          <t>W04</t>
        </is>
      </c>
      <c r="B175" s="46" t="n">
        <v>26</v>
      </c>
      <c r="C175" s="47" t="n">
        <v>58</v>
      </c>
      <c r="D175" s="47" t="n">
        <v>87.74</v>
      </c>
      <c r="E175" s="46" t="str">
        <f>IF(C175&lt;=72.0,"Y","N")</f>
        <v>Y</v>
      </c>
      <c r="F175" s="46">
        <f>IF(E175="Y",D175,"")</f>
        <v>87.74</v>
      </c>
    </row>
    <row r="176">
      <c r="A176" s="46" t="inlineStr">
        <is>
          <t>W04</t>
        </is>
      </c>
      <c r="B176" s="46" t="n">
        <v>27</v>
      </c>
      <c r="C176" s="47" t="n">
        <v>58</v>
      </c>
      <c r="D176" s="47" t="n">
        <v>88.2</v>
      </c>
      <c r="E176" s="46" t="str">
        <f>IF(C176&lt;=72.0,"Y","N")</f>
        <v>Y</v>
      </c>
      <c r="F176" s="46">
        <f>IF(E176="Y",D176,"")</f>
        <v>88.2</v>
      </c>
    </row>
    <row r="177">
      <c r="A177" s="46" t="inlineStr">
        <is>
          <t>W04</t>
        </is>
      </c>
      <c r="B177" s="46" t="n">
        <v>28</v>
      </c>
      <c r="C177" s="47" t="n">
        <v>58</v>
      </c>
      <c r="D177" s="47" t="n">
        <v>88.53</v>
      </c>
      <c r="E177" s="46" t="str">
        <f>IF(C177&lt;=72.0,"Y","N")</f>
        <v>Y</v>
      </c>
      <c r="F177" s="46">
        <f>IF(E177="Y",D177,"")</f>
        <v>88.53</v>
      </c>
    </row>
    <row r="178">
      <c r="A178" s="46" t="inlineStr">
        <is>
          <t>W04</t>
        </is>
      </c>
      <c r="B178" s="46" t="n">
        <v>29</v>
      </c>
      <c r="C178" s="47" t="n">
        <v>58</v>
      </c>
      <c r="D178" s="47" t="n">
        <v>87.56</v>
      </c>
      <c r="E178" s="46" t="str">
        <f>IF(C178&lt;=72.0,"Y","N")</f>
        <v>Y</v>
      </c>
      <c r="F178" s="46">
        <f>IF(E178="Y",D178,"")</f>
        <v>87.56</v>
      </c>
    </row>
    <row r="179">
      <c r="A179" s="46" t="inlineStr">
        <is>
          <t>W04</t>
        </is>
      </c>
      <c r="B179" s="46" t="n">
        <v>30</v>
      </c>
      <c r="C179" s="47" t="n">
        <v>58</v>
      </c>
      <c r="D179" s="47" t="n">
        <v>88.84</v>
      </c>
      <c r="E179" s="46" t="str">
        <f>IF(C179&lt;=72.0,"Y","N")</f>
        <v>Y</v>
      </c>
      <c r="F179" s="46">
        <f>IF(E179="Y",D179,"")</f>
        <v>88.84</v>
      </c>
    </row>
    <row r="180">
      <c r="A180" s="46" t="inlineStr">
        <is>
          <t>W04</t>
        </is>
      </c>
      <c r="B180" s="46" t="n">
        <v>31</v>
      </c>
      <c r="C180" s="47" t="n">
        <v>58</v>
      </c>
      <c r="D180" s="47" t="n">
        <v>87.84</v>
      </c>
      <c r="E180" s="46" t="str">
        <f>IF(C180&lt;=72.0,"Y","N")</f>
        <v>Y</v>
      </c>
      <c r="F180" s="46">
        <f>IF(E180="Y",D180,"")</f>
        <v>87.84</v>
      </c>
    </row>
    <row r="181">
      <c r="A181" s="46" t="inlineStr">
        <is>
          <t>W04</t>
        </is>
      </c>
      <c r="B181" s="46" t="n">
        <v>32</v>
      </c>
      <c r="C181" s="47" t="n">
        <v>58</v>
      </c>
      <c r="D181" s="47" t="n">
        <v>87.94</v>
      </c>
      <c r="E181" s="46" t="str">
        <f>IF(C181&lt;=72.0,"Y","N")</f>
        <v>Y</v>
      </c>
      <c r="F181" s="46">
        <f>IF(E181="Y",D181,"")</f>
        <v>87.94</v>
      </c>
    </row>
    <row r="182">
      <c r="A182" s="46" t="inlineStr">
        <is>
          <t>W04</t>
        </is>
      </c>
      <c r="B182" s="46" t="n">
        <v>33</v>
      </c>
      <c r="C182" s="47" t="n">
        <v>58</v>
      </c>
      <c r="D182" s="47" t="n">
        <v>87.77</v>
      </c>
      <c r="E182" s="46" t="str">
        <f>IF(C182&lt;=72.0,"Y","N")</f>
        <v>Y</v>
      </c>
      <c r="F182" s="46">
        <f>IF(E182="Y",D182,"")</f>
        <v>87.77</v>
      </c>
    </row>
    <row r="183">
      <c r="A183" s="46" t="inlineStr">
        <is>
          <t>W04</t>
        </is>
      </c>
      <c r="B183" s="46" t="n">
        <v>34</v>
      </c>
      <c r="C183" s="47" t="n">
        <v>73</v>
      </c>
      <c r="D183" s="47" t="n">
        <v>91.17</v>
      </c>
      <c r="E183" s="46" t="str">
        <f>IF(C183&lt;=72.0,"Y","N")</f>
        <v>N</v>
      </c>
      <c r="F183" s="46" t="str">
        <f>IF(E183="Y",D183,"")</f>
        <v/>
      </c>
    </row>
    <row r="184">
      <c r="A184" s="46" t="inlineStr">
        <is>
          <t>W04</t>
        </is>
      </c>
      <c r="B184" s="46" t="n">
        <v>35</v>
      </c>
      <c r="C184" s="47" t="n">
        <v>73</v>
      </c>
      <c r="D184" s="47" t="n">
        <v>91.2</v>
      </c>
      <c r="E184" s="46" t="str">
        <f>IF(C184&lt;=72.0,"Y","N")</f>
        <v>N</v>
      </c>
      <c r="F184" s="46" t="str">
        <f>IF(E184="Y",D184,"")</f>
        <v/>
      </c>
    </row>
    <row r="185">
      <c r="A185" s="46" t="inlineStr">
        <is>
          <t>W04</t>
        </is>
      </c>
      <c r="B185" s="46" t="n">
        <v>36</v>
      </c>
      <c r="C185" s="47" t="n">
        <v>73</v>
      </c>
      <c r="D185" s="47" t="n">
        <v>90.79</v>
      </c>
      <c r="E185" s="46" t="str">
        <f>IF(C185&lt;=72.0,"Y","N")</f>
        <v>N</v>
      </c>
      <c r="F185" s="46" t="str">
        <f>IF(E185="Y",D185,"")</f>
        <v/>
      </c>
    </row>
    <row r="186">
      <c r="A186" s="46" t="inlineStr">
        <is>
          <t>W04</t>
        </is>
      </c>
      <c r="B186" s="46" t="n">
        <v>37</v>
      </c>
      <c r="C186" s="47" t="n">
        <v>73</v>
      </c>
      <c r="D186" s="47" t="n">
        <v>90.8</v>
      </c>
      <c r="E186" s="46" t="str">
        <f>IF(C186&lt;=72.0,"Y","N")</f>
        <v>N</v>
      </c>
      <c r="F186" s="46" t="str">
        <f>IF(E186="Y",D186,"")</f>
        <v/>
      </c>
    </row>
    <row r="187">
      <c r="A187" s="46" t="inlineStr">
        <is>
          <t>W04</t>
        </is>
      </c>
      <c r="B187" s="46" t="n">
        <v>38</v>
      </c>
      <c r="C187" s="47" t="n">
        <v>73</v>
      </c>
      <c r="D187" s="47" t="n">
        <v>90.99</v>
      </c>
      <c r="E187" s="46" t="str">
        <f>IF(C187&lt;=72.0,"Y","N")</f>
        <v>N</v>
      </c>
      <c r="F187" s="46" t="str">
        <f>IF(E187="Y",D187,"")</f>
        <v/>
      </c>
    </row>
    <row r="188">
      <c r="A188" s="46" t="inlineStr">
        <is>
          <t>W04</t>
        </is>
      </c>
      <c r="B188" s="46" t="n">
        <v>39</v>
      </c>
      <c r="C188" s="47" t="n">
        <v>73</v>
      </c>
      <c r="D188" s="47" t="n">
        <v>92.19</v>
      </c>
      <c r="E188" s="46" t="str">
        <f>IF(C188&lt;=72.0,"Y","N")</f>
        <v>N</v>
      </c>
      <c r="F188" s="46" t="str">
        <f>IF(E188="Y",D188,"")</f>
        <v/>
      </c>
    </row>
    <row r="189">
      <c r="A189" s="46" t="inlineStr">
        <is>
          <t>W04</t>
        </is>
      </c>
      <c r="B189" s="46" t="n">
        <v>40</v>
      </c>
      <c r="C189" s="47" t="n">
        <v>73</v>
      </c>
      <c r="D189" s="47" t="n">
        <v>90.76</v>
      </c>
      <c r="E189" s="46" t="str">
        <f>IF(C189&lt;=72.0,"Y","N")</f>
        <v>N</v>
      </c>
      <c r="F189" s="46" t="str">
        <f>IF(E189="Y",D189,"")</f>
        <v/>
      </c>
    </row>
    <row r="190">
      <c r="A190" s="46" t="inlineStr">
        <is>
          <t>W04</t>
        </is>
      </c>
      <c r="B190" s="46" t="n">
        <v>41</v>
      </c>
      <c r="C190" s="47" t="n">
        <v>73</v>
      </c>
      <c r="D190" s="47" t="n">
        <v>92.21</v>
      </c>
      <c r="E190" s="46" t="str">
        <f>IF(C190&lt;=72.0,"Y","N")</f>
        <v>N</v>
      </c>
      <c r="F190" s="46" t="str">
        <f>IF(E190="Y",D190,"")</f>
        <v/>
      </c>
    </row>
    <row r="191">
      <c r="A191" s="46" t="inlineStr">
        <is>
          <t>W04</t>
        </is>
      </c>
      <c r="B191" s="46" t="n">
        <v>42</v>
      </c>
      <c r="C191" s="47" t="n">
        <v>73</v>
      </c>
      <c r="D191" s="47" t="n">
        <v>92.24</v>
      </c>
      <c r="E191" s="46" t="str">
        <f>IF(C191&lt;=72.0,"Y","N")</f>
        <v>N</v>
      </c>
      <c r="F191" s="46" t="str">
        <f>IF(E191="Y",D191,"")</f>
        <v/>
      </c>
    </row>
    <row r="192">
      <c r="A192" s="46" t="inlineStr">
        <is>
          <t>W04</t>
        </is>
      </c>
      <c r="B192" s="46" t="n">
        <v>43</v>
      </c>
      <c r="C192" s="47" t="n">
        <v>73</v>
      </c>
      <c r="D192" s="47" t="n">
        <v>91.3</v>
      </c>
      <c r="E192" s="46" t="str">
        <f>IF(C192&lt;=72.0,"Y","N")</f>
        <v>N</v>
      </c>
      <c r="F192" s="46" t="str">
        <f>IF(E192="Y",D192,"")</f>
        <v/>
      </c>
    </row>
    <row r="193">
      <c r="A193" s="46" t="inlineStr">
        <is>
          <t>W04</t>
        </is>
      </c>
      <c r="B193" s="46" t="n">
        <v>44</v>
      </c>
      <c r="C193" s="47" t="n">
        <v>73</v>
      </c>
      <c r="D193" s="47" t="n">
        <v>91.67</v>
      </c>
      <c r="E193" s="46" t="str">
        <f>IF(C193&lt;=72.0,"Y","N")</f>
        <v>N</v>
      </c>
      <c r="F193" s="46" t="str">
        <f>IF(E193="Y",D193,"")</f>
        <v/>
      </c>
    </row>
    <row r="194">
      <c r="A194" s="46" t="inlineStr">
        <is>
          <t>W04</t>
        </is>
      </c>
      <c r="B194" s="46" t="n">
        <v>45</v>
      </c>
      <c r="C194" s="47" t="n">
        <v>73</v>
      </c>
      <c r="D194" s="47" t="n">
        <v>92.06</v>
      </c>
      <c r="E194" s="46" t="str">
        <f>IF(C194&lt;=72.0,"Y","N")</f>
        <v>N</v>
      </c>
      <c r="F194" s="46" t="str">
        <f>IF(E194="Y",D194,"")</f>
        <v/>
      </c>
    </row>
    <row r="195">
      <c r="A195" s="46" t="inlineStr">
        <is>
          <t>W04</t>
        </is>
      </c>
      <c r="B195" s="46" t="n">
        <v>46</v>
      </c>
      <c r="C195" s="47" t="n">
        <v>73</v>
      </c>
      <c r="D195" s="47" t="n">
        <v>91.06</v>
      </c>
      <c r="E195" s="46" t="str">
        <f>IF(C195&lt;=72.0,"Y","N")</f>
        <v>N</v>
      </c>
      <c r="F195" s="46" t="str">
        <f>IF(E195="Y",D195,"")</f>
        <v/>
      </c>
    </row>
    <row r="196">
      <c r="A196" s="46" t="inlineStr">
        <is>
          <t>W04</t>
        </is>
      </c>
      <c r="B196" s="46" t="n">
        <v>47</v>
      </c>
      <c r="C196" s="47" t="n">
        <v>73</v>
      </c>
      <c r="D196" s="47" t="n">
        <v>91.58</v>
      </c>
      <c r="E196" s="46" t="str">
        <f>IF(C196&lt;=72.0,"Y","N")</f>
        <v>N</v>
      </c>
      <c r="F196" s="46" t="str">
        <f>IF(E196="Y",D196,"")</f>
        <v/>
      </c>
    </row>
    <row r="197">
      <c r="A197" s="46" t="inlineStr">
        <is>
          <t>W04</t>
        </is>
      </c>
      <c r="B197" s="46" t="n">
        <v>48</v>
      </c>
      <c r="C197" s="47" t="n">
        <v>73</v>
      </c>
      <c r="D197" s="47" t="n">
        <v>90.87</v>
      </c>
      <c r="E197" s="46" t="str">
        <f>IF(C197&lt;=72.0,"Y","N")</f>
        <v>N</v>
      </c>
      <c r="F197" s="46" t="str">
        <f>IF(E197="Y",D197,"")</f>
        <v/>
      </c>
    </row>
    <row r="198">
      <c r="A198" s="46" t="inlineStr">
        <is>
          <t>W04</t>
        </is>
      </c>
      <c r="B198" s="46" t="n">
        <v>49</v>
      </c>
      <c r="C198" s="47" t="n">
        <v>73</v>
      </c>
      <c r="D198" s="47" t="n">
        <v>91.22</v>
      </c>
      <c r="E198" s="46" t="str">
        <f>IF(C198&lt;=72.0,"Y","N")</f>
        <v>N</v>
      </c>
      <c r="F198" s="46" t="str">
        <f>IF(E198="Y",D198,"")</f>
        <v/>
      </c>
    </row>
    <row r="199">
      <c r="A199" s="46" t="inlineStr">
        <is>
          <t>W05</t>
        </is>
      </c>
      <c r="B199" s="46" t="n">
        <v>1</v>
      </c>
      <c r="C199" s="47" t="n">
        <v>0</v>
      </c>
      <c r="D199" s="47" t="n">
        <v>81.57</v>
      </c>
      <c r="E199" s="46" t="str">
        <f>IF(C199&lt;=72.0,"Y","N")</f>
        <v>Y</v>
      </c>
      <c r="F199" s="46">
        <f>IF(E199="Y",D199,"")</f>
        <v>81.57</v>
      </c>
    </row>
    <row r="200">
      <c r="A200" s="46" t="inlineStr">
        <is>
          <t>W05</t>
        </is>
      </c>
      <c r="B200" s="46" t="n">
        <v>2</v>
      </c>
      <c r="C200" s="47" t="n">
        <v>22</v>
      </c>
      <c r="D200" s="47" t="n">
        <v>83.65</v>
      </c>
      <c r="E200" s="46" t="str">
        <f>IF(C200&lt;=72.0,"Y","N")</f>
        <v>Y</v>
      </c>
      <c r="F200" s="46">
        <f>IF(E200="Y",D200,"")</f>
        <v>83.65</v>
      </c>
    </row>
    <row r="201">
      <c r="A201" s="46" t="inlineStr">
        <is>
          <t>W05</t>
        </is>
      </c>
      <c r="B201" s="46" t="n">
        <v>3</v>
      </c>
      <c r="C201" s="47" t="n">
        <v>22</v>
      </c>
      <c r="D201" s="47" t="n">
        <v>82.94</v>
      </c>
      <c r="E201" s="46" t="str">
        <f>IF(C201&lt;=72.0,"Y","N")</f>
        <v>Y</v>
      </c>
      <c r="F201" s="46">
        <f>IF(E201="Y",D201,"")</f>
        <v>82.94</v>
      </c>
    </row>
    <row r="202">
      <c r="A202" s="46" t="inlineStr">
        <is>
          <t>W05</t>
        </is>
      </c>
      <c r="B202" s="46" t="n">
        <v>4</v>
      </c>
      <c r="C202" s="47" t="n">
        <v>22</v>
      </c>
      <c r="D202" s="47" t="n">
        <v>82.74</v>
      </c>
      <c r="E202" s="46" t="str">
        <f>IF(C202&lt;=72.0,"Y","N")</f>
        <v>Y</v>
      </c>
      <c r="F202" s="46">
        <f>IF(E202="Y",D202,"")</f>
        <v>82.74</v>
      </c>
    </row>
    <row r="203">
      <c r="A203" s="46" t="inlineStr">
        <is>
          <t>W05</t>
        </is>
      </c>
      <c r="B203" s="46" t="n">
        <v>5</v>
      </c>
      <c r="C203" s="47" t="n">
        <v>22</v>
      </c>
      <c r="D203" s="47" t="n">
        <v>83.56</v>
      </c>
      <c r="E203" s="46" t="str">
        <f>IF(C203&lt;=72.0,"Y","N")</f>
        <v>Y</v>
      </c>
      <c r="F203" s="46">
        <f>IF(E203="Y",D203,"")</f>
        <v>83.56</v>
      </c>
    </row>
    <row r="204">
      <c r="A204" s="46" t="inlineStr">
        <is>
          <t>W05</t>
        </is>
      </c>
      <c r="B204" s="46" t="n">
        <v>6</v>
      </c>
      <c r="C204" s="47" t="n">
        <v>22</v>
      </c>
      <c r="D204" s="47" t="n">
        <v>82.78</v>
      </c>
      <c r="E204" s="46" t="str">
        <f>IF(C204&lt;=72.0,"Y","N")</f>
        <v>Y</v>
      </c>
      <c r="F204" s="46">
        <f>IF(E204="Y",D204,"")</f>
        <v>82.78</v>
      </c>
    </row>
    <row r="205">
      <c r="A205" s="46" t="inlineStr">
        <is>
          <t>W05</t>
        </is>
      </c>
      <c r="B205" s="46" t="n">
        <v>7</v>
      </c>
      <c r="C205" s="47" t="n">
        <v>22</v>
      </c>
      <c r="D205" s="47" t="n">
        <v>82.44</v>
      </c>
      <c r="E205" s="46" t="str">
        <f>IF(C205&lt;=72.0,"Y","N")</f>
        <v>Y</v>
      </c>
      <c r="F205" s="46">
        <f>IF(E205="Y",D205,"")</f>
        <v>82.44</v>
      </c>
    </row>
    <row r="206">
      <c r="A206" s="46" t="inlineStr">
        <is>
          <t>W05</t>
        </is>
      </c>
      <c r="B206" s="46" t="n">
        <v>8</v>
      </c>
      <c r="C206" s="47" t="n">
        <v>22</v>
      </c>
      <c r="D206" s="47" t="n">
        <v>82.5</v>
      </c>
      <c r="E206" s="46" t="str">
        <f>IF(C206&lt;=72.0,"Y","N")</f>
        <v>Y</v>
      </c>
      <c r="F206" s="46">
        <f>IF(E206="Y",D206,"")</f>
        <v>82.5</v>
      </c>
    </row>
    <row r="207">
      <c r="A207" s="46" t="inlineStr">
        <is>
          <t>W05</t>
        </is>
      </c>
      <c r="B207" s="46" t="n">
        <v>9</v>
      </c>
      <c r="C207" s="47" t="n">
        <v>22</v>
      </c>
      <c r="D207" s="47" t="n">
        <v>82.66</v>
      </c>
      <c r="E207" s="46" t="str">
        <f>IF(C207&lt;=72.0,"Y","N")</f>
        <v>Y</v>
      </c>
      <c r="F207" s="46">
        <f>IF(E207="Y",D207,"")</f>
        <v>82.66</v>
      </c>
    </row>
    <row r="208">
      <c r="A208" s="46" t="inlineStr">
        <is>
          <t>W05</t>
        </is>
      </c>
      <c r="B208" s="46" t="n">
        <v>10</v>
      </c>
      <c r="C208" s="47" t="n">
        <v>40</v>
      </c>
      <c r="D208" s="47" t="n">
        <v>85.72</v>
      </c>
      <c r="E208" s="46" t="str">
        <f>IF(C208&lt;=72.0,"Y","N")</f>
        <v>Y</v>
      </c>
      <c r="F208" s="46">
        <f>IF(E208="Y",D208,"")</f>
        <v>85.72</v>
      </c>
    </row>
    <row r="209">
      <c r="A209" s="46" t="inlineStr">
        <is>
          <t>W05</t>
        </is>
      </c>
      <c r="B209" s="46" t="n">
        <v>11</v>
      </c>
      <c r="C209" s="47" t="n">
        <v>40</v>
      </c>
      <c r="D209" s="47" t="n">
        <v>85.5</v>
      </c>
      <c r="E209" s="46" t="str">
        <f>IF(C209&lt;=72.0,"Y","N")</f>
        <v>Y</v>
      </c>
      <c r="F209" s="46">
        <f>IF(E209="Y",D209,"")</f>
        <v>85.5</v>
      </c>
    </row>
    <row r="210">
      <c r="A210" s="46" t="inlineStr">
        <is>
          <t>W05</t>
        </is>
      </c>
      <c r="B210" s="46" t="n">
        <v>12</v>
      </c>
      <c r="C210" s="47" t="n">
        <v>40</v>
      </c>
      <c r="D210" s="47" t="n">
        <v>85</v>
      </c>
      <c r="E210" s="46" t="str">
        <f>IF(C210&lt;=72.0,"Y","N")</f>
        <v>Y</v>
      </c>
      <c r="F210" s="46">
        <f>IF(E210="Y",D210,"")</f>
        <v>85</v>
      </c>
    </row>
    <row r="211">
      <c r="A211" s="46" t="inlineStr">
        <is>
          <t>W05</t>
        </is>
      </c>
      <c r="B211" s="46" t="n">
        <v>13</v>
      </c>
      <c r="C211" s="47" t="n">
        <v>40</v>
      </c>
      <c r="D211" s="47" t="n">
        <v>85.62</v>
      </c>
      <c r="E211" s="46" t="str">
        <f>IF(C211&lt;=72.0,"Y","N")</f>
        <v>Y</v>
      </c>
      <c r="F211" s="46">
        <f>IF(E211="Y",D211,"")</f>
        <v>85.62</v>
      </c>
    </row>
    <row r="212">
      <c r="A212" s="46" t="inlineStr">
        <is>
          <t>W05</t>
        </is>
      </c>
      <c r="B212" s="46" t="n">
        <v>14</v>
      </c>
      <c r="C212" s="47" t="n">
        <v>40</v>
      </c>
      <c r="D212" s="47" t="n">
        <v>85.24</v>
      </c>
      <c r="E212" s="46" t="str">
        <f>IF(C212&lt;=72.0,"Y","N")</f>
        <v>Y</v>
      </c>
      <c r="F212" s="46">
        <f>IF(E212="Y",D212,"")</f>
        <v>85.24</v>
      </c>
    </row>
    <row r="213">
      <c r="A213" s="46" t="inlineStr">
        <is>
          <t>W05</t>
        </is>
      </c>
      <c r="B213" s="46" t="n">
        <v>15</v>
      </c>
      <c r="C213" s="47" t="n">
        <v>40</v>
      </c>
      <c r="D213" s="47" t="n">
        <v>85.34</v>
      </c>
      <c r="E213" s="46" t="str">
        <f>IF(C213&lt;=72.0,"Y","N")</f>
        <v>Y</v>
      </c>
      <c r="F213" s="46">
        <f>IF(E213="Y",D213,"")</f>
        <v>85.34</v>
      </c>
    </row>
    <row r="214">
      <c r="A214" s="46" t="inlineStr">
        <is>
          <t>W05</t>
        </is>
      </c>
      <c r="B214" s="46" t="n">
        <v>16</v>
      </c>
      <c r="C214" s="47" t="n">
        <v>40</v>
      </c>
      <c r="D214" s="47" t="n">
        <v>85.86</v>
      </c>
      <c r="E214" s="46" t="str">
        <f>IF(C214&lt;=72.0,"Y","N")</f>
        <v>Y</v>
      </c>
      <c r="F214" s="46">
        <f>IF(E214="Y",D214,"")</f>
        <v>85.86</v>
      </c>
    </row>
    <row r="215">
      <c r="A215" s="46" t="inlineStr">
        <is>
          <t>W05</t>
        </is>
      </c>
      <c r="B215" s="46" t="n">
        <v>17</v>
      </c>
      <c r="C215" s="47" t="n">
        <v>40</v>
      </c>
      <c r="D215" s="47" t="n">
        <v>84.57</v>
      </c>
      <c r="E215" s="46" t="str">
        <f>IF(C215&lt;=72.0,"Y","N")</f>
        <v>Y</v>
      </c>
      <c r="F215" s="46">
        <f>IF(E215="Y",D215,"")</f>
        <v>84.57</v>
      </c>
    </row>
    <row r="216">
      <c r="A216" s="46" t="inlineStr">
        <is>
          <t>W05</t>
        </is>
      </c>
      <c r="B216" s="46" t="n">
        <v>18</v>
      </c>
      <c r="C216" s="47" t="n">
        <v>40</v>
      </c>
      <c r="D216" s="47" t="n">
        <v>85.71</v>
      </c>
      <c r="E216" s="46" t="str">
        <f>IF(C216&lt;=72.0,"Y","N")</f>
        <v>Y</v>
      </c>
      <c r="F216" s="46">
        <f>IF(E216="Y",D216,"")</f>
        <v>85.71</v>
      </c>
    </row>
    <row r="217">
      <c r="A217" s="46" t="inlineStr">
        <is>
          <t>W05</t>
        </is>
      </c>
      <c r="B217" s="46" t="n">
        <v>19</v>
      </c>
      <c r="C217" s="47" t="n">
        <v>40</v>
      </c>
      <c r="D217" s="47" t="n">
        <v>85.18</v>
      </c>
      <c r="E217" s="46" t="str">
        <f>IF(C217&lt;=72.0,"Y","N")</f>
        <v>Y</v>
      </c>
      <c r="F217" s="46">
        <f>IF(E217="Y",D217,"")</f>
        <v>85.18</v>
      </c>
    </row>
    <row r="218">
      <c r="A218" s="46" t="inlineStr">
        <is>
          <t>W05</t>
        </is>
      </c>
      <c r="B218" s="46" t="n">
        <v>20</v>
      </c>
      <c r="C218" s="47" t="n">
        <v>40</v>
      </c>
      <c r="D218" s="47" t="n">
        <v>85.04</v>
      </c>
      <c r="E218" s="46" t="str">
        <f>IF(C218&lt;=72.0,"Y","N")</f>
        <v>Y</v>
      </c>
      <c r="F218" s="46">
        <f>IF(E218="Y",D218,"")</f>
        <v>85.04</v>
      </c>
    </row>
    <row r="219">
      <c r="A219" s="46" t="inlineStr">
        <is>
          <t>W05</t>
        </is>
      </c>
      <c r="B219" s="46" t="n">
        <v>21</v>
      </c>
      <c r="C219" s="47" t="n">
        <v>40</v>
      </c>
      <c r="D219" s="47" t="n">
        <v>85.48</v>
      </c>
      <c r="E219" s="46" t="str">
        <f>IF(C219&lt;=72.0,"Y","N")</f>
        <v>Y</v>
      </c>
      <c r="F219" s="46">
        <f>IF(E219="Y",D219,"")</f>
        <v>85.48</v>
      </c>
    </row>
    <row r="220">
      <c r="A220" s="46" t="inlineStr">
        <is>
          <t>W05</t>
        </is>
      </c>
      <c r="B220" s="46" t="n">
        <v>22</v>
      </c>
      <c r="C220" s="47" t="n">
        <v>58</v>
      </c>
      <c r="D220" s="47" t="n">
        <v>88.76</v>
      </c>
      <c r="E220" s="46" t="str">
        <f>IF(C220&lt;=72.0,"Y","N")</f>
        <v>Y</v>
      </c>
      <c r="F220" s="46">
        <f>IF(E220="Y",D220,"")</f>
        <v>88.76</v>
      </c>
    </row>
    <row r="221">
      <c r="A221" s="46" t="inlineStr">
        <is>
          <t>W05</t>
        </is>
      </c>
      <c r="B221" s="46" t="n">
        <v>23</v>
      </c>
      <c r="C221" s="47" t="n">
        <v>58</v>
      </c>
      <c r="D221" s="47" t="n">
        <v>87.93</v>
      </c>
      <c r="E221" s="46" t="str">
        <f>IF(C221&lt;=72.0,"Y","N")</f>
        <v>Y</v>
      </c>
      <c r="F221" s="46">
        <f>IF(E221="Y",D221,"")</f>
        <v>87.93</v>
      </c>
    </row>
    <row r="222">
      <c r="A222" s="46" t="inlineStr">
        <is>
          <t>W05</t>
        </is>
      </c>
      <c r="B222" s="46" t="n">
        <v>24</v>
      </c>
      <c r="C222" s="47" t="n">
        <v>58</v>
      </c>
      <c r="D222" s="47" t="n">
        <v>87.77</v>
      </c>
      <c r="E222" s="46" t="str">
        <f>IF(C222&lt;=72.0,"Y","N")</f>
        <v>Y</v>
      </c>
      <c r="F222" s="46">
        <f>IF(E222="Y",D222,"")</f>
        <v>87.77</v>
      </c>
    </row>
    <row r="223">
      <c r="A223" s="46" t="inlineStr">
        <is>
          <t>W05</t>
        </is>
      </c>
      <c r="B223" s="46" t="n">
        <v>25</v>
      </c>
      <c r="C223" s="47" t="n">
        <v>58</v>
      </c>
      <c r="D223" s="47" t="n">
        <v>88.46</v>
      </c>
      <c r="E223" s="46" t="str">
        <f>IF(C223&lt;=72.0,"Y","N")</f>
        <v>Y</v>
      </c>
      <c r="F223" s="46">
        <f>IF(E223="Y",D223,"")</f>
        <v>88.46</v>
      </c>
    </row>
    <row r="224">
      <c r="A224" s="46" t="inlineStr">
        <is>
          <t>W05</t>
        </is>
      </c>
      <c r="B224" s="46" t="n">
        <v>26</v>
      </c>
      <c r="C224" s="47" t="n">
        <v>58</v>
      </c>
      <c r="D224" s="47" t="n">
        <v>88.39</v>
      </c>
      <c r="E224" s="46" t="str">
        <f>IF(C224&lt;=72.0,"Y","N")</f>
        <v>Y</v>
      </c>
      <c r="F224" s="46">
        <f>IF(E224="Y",D224,"")</f>
        <v>88.39</v>
      </c>
    </row>
    <row r="225">
      <c r="A225" s="46" t="inlineStr">
        <is>
          <t>W05</t>
        </is>
      </c>
      <c r="B225" s="46" t="n">
        <v>27</v>
      </c>
      <c r="C225" s="47" t="n">
        <v>58</v>
      </c>
      <c r="D225" s="47" t="n">
        <v>87.76</v>
      </c>
      <c r="E225" s="46" t="str">
        <f>IF(C225&lt;=72.0,"Y","N")</f>
        <v>Y</v>
      </c>
      <c r="F225" s="46">
        <f>IF(E225="Y",D225,"")</f>
        <v>87.76</v>
      </c>
    </row>
    <row r="226">
      <c r="A226" s="46" t="inlineStr">
        <is>
          <t>W05</t>
        </is>
      </c>
      <c r="B226" s="46" t="n">
        <v>28</v>
      </c>
      <c r="C226" s="47" t="n">
        <v>58</v>
      </c>
      <c r="D226" s="47" t="n">
        <v>88.45</v>
      </c>
      <c r="E226" s="46" t="str">
        <f>IF(C226&lt;=72.0,"Y","N")</f>
        <v>Y</v>
      </c>
      <c r="F226" s="46">
        <f>IF(E226="Y",D226,"")</f>
        <v>88.45</v>
      </c>
    </row>
    <row r="227">
      <c r="A227" s="46" t="inlineStr">
        <is>
          <t>W05</t>
        </is>
      </c>
      <c r="B227" s="46" t="n">
        <v>29</v>
      </c>
      <c r="C227" s="47" t="n">
        <v>58</v>
      </c>
      <c r="D227" s="47" t="n">
        <v>88.94</v>
      </c>
      <c r="E227" s="46" t="str">
        <f>IF(C227&lt;=72.0,"Y","N")</f>
        <v>Y</v>
      </c>
      <c r="F227" s="46">
        <f>IF(E227="Y",D227,"")</f>
        <v>88.94</v>
      </c>
    </row>
    <row r="228">
      <c r="A228" s="46" t="inlineStr">
        <is>
          <t>W05</t>
        </is>
      </c>
      <c r="B228" s="46" t="n">
        <v>30</v>
      </c>
      <c r="C228" s="47" t="n">
        <v>58</v>
      </c>
      <c r="D228" s="47" t="n">
        <v>88.14</v>
      </c>
      <c r="E228" s="46" t="str">
        <f>IF(C228&lt;=72.0,"Y","N")</f>
        <v>Y</v>
      </c>
      <c r="F228" s="46">
        <f>IF(E228="Y",D228,"")</f>
        <v>88.14</v>
      </c>
    </row>
    <row r="229">
      <c r="A229" s="46" t="inlineStr">
        <is>
          <t>W05</t>
        </is>
      </c>
      <c r="B229" s="46" t="n">
        <v>31</v>
      </c>
      <c r="C229" s="47" t="n">
        <v>58</v>
      </c>
      <c r="D229" s="47" t="n">
        <v>87.53</v>
      </c>
      <c r="E229" s="46" t="str">
        <f>IF(C229&lt;=72.0,"Y","N")</f>
        <v>Y</v>
      </c>
      <c r="F229" s="46">
        <f>IF(E229="Y",D229,"")</f>
        <v>87.53</v>
      </c>
    </row>
    <row r="230">
      <c r="A230" s="46" t="inlineStr">
        <is>
          <t>W05</t>
        </is>
      </c>
      <c r="B230" s="46" t="n">
        <v>32</v>
      </c>
      <c r="C230" s="47" t="n">
        <v>58</v>
      </c>
      <c r="D230" s="47" t="n">
        <v>88.66</v>
      </c>
      <c r="E230" s="46" t="str">
        <f>IF(C230&lt;=72.0,"Y","N")</f>
        <v>Y</v>
      </c>
      <c r="F230" s="46">
        <f>IF(E230="Y",D230,"")</f>
        <v>88.66</v>
      </c>
    </row>
    <row r="231">
      <c r="A231" s="46" t="inlineStr">
        <is>
          <t>W05</t>
        </is>
      </c>
      <c r="B231" s="46" t="n">
        <v>33</v>
      </c>
      <c r="C231" s="47" t="n">
        <v>58</v>
      </c>
      <c r="D231" s="47" t="n">
        <v>88.34</v>
      </c>
      <c r="E231" s="46" t="str">
        <f>IF(C231&lt;=72.0,"Y","N")</f>
        <v>Y</v>
      </c>
      <c r="F231" s="46">
        <f>IF(E231="Y",D231,"")</f>
        <v>88.34</v>
      </c>
    </row>
    <row r="232">
      <c r="A232" s="46" t="inlineStr">
        <is>
          <t>W05</t>
        </is>
      </c>
      <c r="B232" s="46" t="n">
        <v>34</v>
      </c>
      <c r="C232" s="47" t="n">
        <v>73</v>
      </c>
      <c r="D232" s="47" t="n">
        <v>92.16</v>
      </c>
      <c r="E232" s="46" t="str">
        <f>IF(C232&lt;=72.0,"Y","N")</f>
        <v>N</v>
      </c>
      <c r="F232" s="46" t="str">
        <f>IF(E232="Y",D232,"")</f>
        <v/>
      </c>
    </row>
    <row r="233">
      <c r="A233" s="46" t="inlineStr">
        <is>
          <t>W05</t>
        </is>
      </c>
      <c r="B233" s="46" t="n">
        <v>35</v>
      </c>
      <c r="C233" s="47" t="n">
        <v>73</v>
      </c>
      <c r="D233" s="47" t="n">
        <v>91.91</v>
      </c>
      <c r="E233" s="46" t="str">
        <f>IF(C233&lt;=72.0,"Y","N")</f>
        <v>N</v>
      </c>
      <c r="F233" s="46" t="str">
        <f>IF(E233="Y",D233,"")</f>
        <v/>
      </c>
    </row>
    <row r="234">
      <c r="A234" s="46" t="inlineStr">
        <is>
          <t>W05</t>
        </is>
      </c>
      <c r="B234" s="46" t="n">
        <v>36</v>
      </c>
      <c r="C234" s="47" t="n">
        <v>73</v>
      </c>
      <c r="D234" s="47" t="n">
        <v>92.27</v>
      </c>
      <c r="E234" s="46" t="str">
        <f>IF(C234&lt;=72.0,"Y","N")</f>
        <v>N</v>
      </c>
      <c r="F234" s="46" t="str">
        <f>IF(E234="Y",D234,"")</f>
        <v/>
      </c>
    </row>
    <row r="235">
      <c r="A235" s="46" t="inlineStr">
        <is>
          <t>W05</t>
        </is>
      </c>
      <c r="B235" s="46" t="n">
        <v>37</v>
      </c>
      <c r="C235" s="47" t="n">
        <v>73</v>
      </c>
      <c r="D235" s="47" t="n">
        <v>91.81</v>
      </c>
      <c r="E235" s="46" t="str">
        <f>IF(C235&lt;=72.0,"Y","N")</f>
        <v>N</v>
      </c>
      <c r="F235" s="46" t="str">
        <f>IF(E235="Y",D235,"")</f>
        <v/>
      </c>
    </row>
    <row r="236">
      <c r="A236" s="46" t="inlineStr">
        <is>
          <t>W05</t>
        </is>
      </c>
      <c r="B236" s="46" t="n">
        <v>38</v>
      </c>
      <c r="C236" s="47" t="n">
        <v>73</v>
      </c>
      <c r="D236" s="47" t="n">
        <v>91.43</v>
      </c>
      <c r="E236" s="46" t="str">
        <f>IF(C236&lt;=72.0,"Y","N")</f>
        <v>N</v>
      </c>
      <c r="F236" s="46" t="str">
        <f>IF(E236="Y",D236,"")</f>
        <v/>
      </c>
    </row>
    <row r="237">
      <c r="A237" s="46" t="inlineStr">
        <is>
          <t>W05</t>
        </is>
      </c>
      <c r="B237" s="46" t="n">
        <v>39</v>
      </c>
      <c r="C237" s="47" t="n">
        <v>73</v>
      </c>
      <c r="D237" s="47" t="n">
        <v>91.65</v>
      </c>
      <c r="E237" s="46" t="str">
        <f>IF(C237&lt;=72.0,"Y","N")</f>
        <v>N</v>
      </c>
      <c r="F237" s="46" t="str">
        <f>IF(E237="Y",D237,"")</f>
        <v/>
      </c>
    </row>
    <row r="238">
      <c r="A238" s="46" t="inlineStr">
        <is>
          <t>W05</t>
        </is>
      </c>
      <c r="B238" s="46" t="n">
        <v>40</v>
      </c>
      <c r="C238" s="47" t="n">
        <v>73</v>
      </c>
      <c r="D238" s="47" t="n">
        <v>91.45</v>
      </c>
      <c r="E238" s="46" t="str">
        <f>IF(C238&lt;=72.0,"Y","N")</f>
        <v>N</v>
      </c>
      <c r="F238" s="46" t="str">
        <f>IF(E238="Y",D238,"")</f>
        <v/>
      </c>
    </row>
    <row r="239">
      <c r="A239" s="46" t="inlineStr">
        <is>
          <t>W05</t>
        </is>
      </c>
      <c r="B239" s="46" t="n">
        <v>41</v>
      </c>
      <c r="C239" s="47" t="n">
        <v>73</v>
      </c>
      <c r="D239" s="47" t="n">
        <v>91.23</v>
      </c>
      <c r="E239" s="46" t="str">
        <f>IF(C239&lt;=72.0,"Y","N")</f>
        <v>N</v>
      </c>
      <c r="F239" s="46" t="str">
        <f>IF(E239="Y",D239,"")</f>
        <v/>
      </c>
    </row>
    <row r="240">
      <c r="A240" s="46" t="inlineStr">
        <is>
          <t>W05</t>
        </is>
      </c>
      <c r="B240" s="46" t="n">
        <v>42</v>
      </c>
      <c r="C240" s="47" t="n">
        <v>73</v>
      </c>
      <c r="D240" s="47" t="n">
        <v>92.26</v>
      </c>
      <c r="E240" s="46" t="str">
        <f>IF(C240&lt;=72.0,"Y","N")</f>
        <v>N</v>
      </c>
      <c r="F240" s="46" t="str">
        <f>IF(E240="Y",D240,"")</f>
        <v/>
      </c>
    </row>
    <row r="241">
      <c r="A241" s="46" t="inlineStr">
        <is>
          <t>W05</t>
        </is>
      </c>
      <c r="B241" s="46" t="n">
        <v>43</v>
      </c>
      <c r="C241" s="47" t="n">
        <v>73</v>
      </c>
      <c r="D241" s="47" t="n">
        <v>92.48</v>
      </c>
      <c r="E241" s="46" t="str">
        <f>IF(C241&lt;=72.0,"Y","N")</f>
        <v>N</v>
      </c>
      <c r="F241" s="46" t="str">
        <f>IF(E241="Y",D241,"")</f>
        <v/>
      </c>
    </row>
    <row r="242">
      <c r="A242" s="46" t="inlineStr">
        <is>
          <t>W05</t>
        </is>
      </c>
      <c r="B242" s="46" t="n">
        <v>44</v>
      </c>
      <c r="C242" s="47" t="n">
        <v>73</v>
      </c>
      <c r="D242" s="47" t="n">
        <v>91.63</v>
      </c>
      <c r="E242" s="46" t="str">
        <f>IF(C242&lt;=72.0,"Y","N")</f>
        <v>N</v>
      </c>
      <c r="F242" s="46" t="str">
        <f>IF(E242="Y",D242,"")</f>
        <v/>
      </c>
    </row>
    <row r="243">
      <c r="A243" s="46" t="inlineStr">
        <is>
          <t>W05</t>
        </is>
      </c>
      <c r="B243" s="46" t="n">
        <v>45</v>
      </c>
      <c r="C243" s="47" t="n">
        <v>73</v>
      </c>
      <c r="D243" s="47" t="n">
        <v>92.09</v>
      </c>
      <c r="E243" s="46" t="str">
        <f>IF(C243&lt;=72.0,"Y","N")</f>
        <v>N</v>
      </c>
      <c r="F243" s="46" t="str">
        <f>IF(E243="Y",D243,"")</f>
        <v/>
      </c>
    </row>
    <row r="244">
      <c r="A244" s="46" t="inlineStr">
        <is>
          <t>W05</t>
        </is>
      </c>
      <c r="B244" s="46" t="n">
        <v>46</v>
      </c>
      <c r="C244" s="47" t="n">
        <v>73</v>
      </c>
      <c r="D244" s="47" t="n">
        <v>91.87</v>
      </c>
      <c r="E244" s="46" t="str">
        <f>IF(C244&lt;=72.0,"Y","N")</f>
        <v>N</v>
      </c>
      <c r="F244" s="46" t="str">
        <f>IF(E244="Y",D244,"")</f>
        <v/>
      </c>
    </row>
    <row r="245">
      <c r="A245" s="46" t="inlineStr">
        <is>
          <t>W05</t>
        </is>
      </c>
      <c r="B245" s="46" t="n">
        <v>47</v>
      </c>
      <c r="C245" s="47" t="n">
        <v>73</v>
      </c>
      <c r="D245" s="47" t="n">
        <v>92.41</v>
      </c>
      <c r="E245" s="46" t="str">
        <f>IF(C245&lt;=72.0,"Y","N")</f>
        <v>N</v>
      </c>
      <c r="F245" s="46" t="str">
        <f>IF(E245="Y",D245,"")</f>
        <v/>
      </c>
    </row>
    <row r="246">
      <c r="A246" s="46" t="inlineStr">
        <is>
          <t>W05</t>
        </is>
      </c>
      <c r="B246" s="46" t="n">
        <v>48</v>
      </c>
      <c r="C246" s="47" t="n">
        <v>73</v>
      </c>
      <c r="D246" s="47" t="n">
        <v>91.63</v>
      </c>
      <c r="E246" s="46" t="str">
        <f>IF(C246&lt;=72.0,"Y","N")</f>
        <v>N</v>
      </c>
      <c r="F246" s="46" t="str">
        <f>IF(E246="Y",D246,"")</f>
        <v/>
      </c>
    </row>
    <row r="247">
      <c r="A247" s="46" t="inlineStr">
        <is>
          <t>W05</t>
        </is>
      </c>
      <c r="B247" s="46" t="n">
        <v>49</v>
      </c>
      <c r="C247" s="47" t="n">
        <v>73</v>
      </c>
      <c r="D247" s="47" t="n">
        <v>91.51</v>
      </c>
      <c r="E247" s="46" t="str">
        <f>IF(C247&lt;=72.0,"Y","N")</f>
        <v>N</v>
      </c>
      <c r="F247" s="46" t="str">
        <f>IF(E247="Y",D247,"")</f>
        <v/>
      </c>
    </row>
    <row r="248">
      <c r="A248" s="46" t="inlineStr">
        <is>
          <t>W06</t>
        </is>
      </c>
      <c r="B248" s="46" t="n">
        <v>1</v>
      </c>
      <c r="C248" s="47" t="n">
        <v>0</v>
      </c>
      <c r="D248" s="47" t="n">
        <v>81.36</v>
      </c>
      <c r="E248" s="46" t="str">
        <f>IF(C248&lt;=72.0,"Y","N")</f>
        <v>Y</v>
      </c>
      <c r="F248" s="46">
        <f>IF(E248="Y",D248,"")</f>
        <v>81.36</v>
      </c>
    </row>
    <row r="249">
      <c r="A249" s="46" t="inlineStr">
        <is>
          <t>W06</t>
        </is>
      </c>
      <c r="B249" s="46" t="n">
        <v>2</v>
      </c>
      <c r="C249" s="47" t="n">
        <v>22</v>
      </c>
      <c r="D249" s="47" t="n">
        <v>83.14</v>
      </c>
      <c r="E249" s="46" t="str">
        <f>IF(C249&lt;=72.0,"Y","N")</f>
        <v>Y</v>
      </c>
      <c r="F249" s="46">
        <f>IF(E249="Y",D249,"")</f>
        <v>83.14</v>
      </c>
    </row>
    <row r="250">
      <c r="A250" s="46" t="inlineStr">
        <is>
          <t>W06</t>
        </is>
      </c>
      <c r="B250" s="46" t="n">
        <v>3</v>
      </c>
      <c r="C250" s="47" t="n">
        <v>22</v>
      </c>
      <c r="D250" s="47" t="n">
        <v>82.29</v>
      </c>
      <c r="E250" s="46" t="str">
        <f>IF(C250&lt;=72.0,"Y","N")</f>
        <v>Y</v>
      </c>
      <c r="F250" s="46">
        <f>IF(E250="Y",D250,"")</f>
        <v>82.29</v>
      </c>
    </row>
    <row r="251">
      <c r="A251" s="46" t="inlineStr">
        <is>
          <t>W06</t>
        </is>
      </c>
      <c r="B251" s="46" t="n">
        <v>4</v>
      </c>
      <c r="C251" s="47" t="n">
        <v>22</v>
      </c>
      <c r="D251" s="47" t="n">
        <v>82.2</v>
      </c>
      <c r="E251" s="46" t="str">
        <f>IF(C251&lt;=72.0,"Y","N")</f>
        <v>Y</v>
      </c>
      <c r="F251" s="46">
        <f>IF(E251="Y",D251,"")</f>
        <v>82.2</v>
      </c>
    </row>
    <row r="252">
      <c r="A252" s="46" t="inlineStr">
        <is>
          <t>W06</t>
        </is>
      </c>
      <c r="B252" s="46" t="n">
        <v>5</v>
      </c>
      <c r="C252" s="47" t="n">
        <v>22</v>
      </c>
      <c r="D252" s="47" t="n">
        <v>83.28</v>
      </c>
      <c r="E252" s="46" t="str">
        <f>IF(C252&lt;=72.0,"Y","N")</f>
        <v>Y</v>
      </c>
      <c r="F252" s="46">
        <f>IF(E252="Y",D252,"")</f>
        <v>83.28</v>
      </c>
    </row>
    <row r="253">
      <c r="A253" s="46" t="inlineStr">
        <is>
          <t>W06</t>
        </is>
      </c>
      <c r="B253" s="46" t="n">
        <v>6</v>
      </c>
      <c r="C253" s="47" t="n">
        <v>22</v>
      </c>
      <c r="D253" s="47" t="n">
        <v>82.32</v>
      </c>
      <c r="E253" s="46" t="str">
        <f>IF(C253&lt;=72.0,"Y","N")</f>
        <v>Y</v>
      </c>
      <c r="F253" s="46">
        <f>IF(E253="Y",D253,"")</f>
        <v>82.32</v>
      </c>
    </row>
    <row r="254">
      <c r="A254" s="46" t="inlineStr">
        <is>
          <t>W06</t>
        </is>
      </c>
      <c r="B254" s="46" t="n">
        <v>7</v>
      </c>
      <c r="C254" s="47" t="n">
        <v>22</v>
      </c>
      <c r="D254" s="47" t="n">
        <v>83.29</v>
      </c>
      <c r="E254" s="46" t="str">
        <f>IF(C254&lt;=72.0,"Y","N")</f>
        <v>Y</v>
      </c>
      <c r="F254" s="46">
        <f>IF(E254="Y",D254,"")</f>
        <v>83.29</v>
      </c>
    </row>
    <row r="255">
      <c r="A255" s="46" t="inlineStr">
        <is>
          <t>W06</t>
        </is>
      </c>
      <c r="B255" s="46" t="n">
        <v>8</v>
      </c>
      <c r="C255" s="47" t="n">
        <v>22</v>
      </c>
      <c r="D255" s="47" t="n">
        <v>82.56</v>
      </c>
      <c r="E255" s="46" t="str">
        <f>IF(C255&lt;=72.0,"Y","N")</f>
        <v>Y</v>
      </c>
      <c r="F255" s="46">
        <f>IF(E255="Y",D255,"")</f>
        <v>82.56</v>
      </c>
    </row>
    <row r="256">
      <c r="A256" s="46" t="inlineStr">
        <is>
          <t>W06</t>
        </is>
      </c>
      <c r="B256" s="46" t="n">
        <v>9</v>
      </c>
      <c r="C256" s="47" t="n">
        <v>22</v>
      </c>
      <c r="D256" s="47" t="n">
        <v>82.73</v>
      </c>
      <c r="E256" s="46" t="str">
        <f>IF(C256&lt;=72.0,"Y","N")</f>
        <v>Y</v>
      </c>
      <c r="F256" s="46">
        <f>IF(E256="Y",D256,"")</f>
        <v>82.73</v>
      </c>
    </row>
    <row r="257">
      <c r="A257" s="46" t="inlineStr">
        <is>
          <t>W06</t>
        </is>
      </c>
      <c r="B257" s="46" t="n">
        <v>10</v>
      </c>
      <c r="C257" s="47" t="n">
        <v>40</v>
      </c>
      <c r="D257" s="47" t="n">
        <v>85.02</v>
      </c>
      <c r="E257" s="46" t="str">
        <f>IF(C257&lt;=72.0,"Y","N")</f>
        <v>Y</v>
      </c>
      <c r="F257" s="46">
        <f>IF(E257="Y",D257,"")</f>
        <v>85.02</v>
      </c>
    </row>
    <row r="258">
      <c r="A258" s="46" t="inlineStr">
        <is>
          <t>W06</t>
        </is>
      </c>
      <c r="B258" s="46" t="n">
        <v>11</v>
      </c>
      <c r="C258" s="47" t="n">
        <v>40</v>
      </c>
      <c r="D258" s="47" t="n">
        <v>84.97</v>
      </c>
      <c r="E258" s="46" t="str">
        <f>IF(C258&lt;=72.0,"Y","N")</f>
        <v>Y</v>
      </c>
      <c r="F258" s="46">
        <f>IF(E258="Y",D258,"")</f>
        <v>84.97</v>
      </c>
    </row>
    <row r="259">
      <c r="A259" s="46" t="inlineStr">
        <is>
          <t>W06</t>
        </is>
      </c>
      <c r="B259" s="46" t="n">
        <v>12</v>
      </c>
      <c r="C259" s="47" t="n">
        <v>40</v>
      </c>
      <c r="D259" s="47" t="n">
        <v>84.32</v>
      </c>
      <c r="E259" s="46" t="str">
        <f>IF(C259&lt;=72.0,"Y","N")</f>
        <v>Y</v>
      </c>
      <c r="F259" s="46">
        <f>IF(E259="Y",D259,"")</f>
        <v>84.32</v>
      </c>
    </row>
    <row r="260">
      <c r="A260" s="46" t="inlineStr">
        <is>
          <t>W06</t>
        </is>
      </c>
      <c r="B260" s="46" t="n">
        <v>13</v>
      </c>
      <c r="C260" s="47" t="n">
        <v>40</v>
      </c>
      <c r="D260" s="47" t="n">
        <v>84.77</v>
      </c>
      <c r="E260" s="46" t="str">
        <f>IF(C260&lt;=72.0,"Y","N")</f>
        <v>Y</v>
      </c>
      <c r="F260" s="46">
        <f>IF(E260="Y",D260,"")</f>
        <v>84.77</v>
      </c>
    </row>
    <row r="261">
      <c r="A261" s="46" t="inlineStr">
        <is>
          <t>W06</t>
        </is>
      </c>
      <c r="B261" s="46" t="n">
        <v>14</v>
      </c>
      <c r="C261" s="47" t="n">
        <v>40</v>
      </c>
      <c r="D261" s="47" t="n">
        <v>84.33</v>
      </c>
      <c r="E261" s="46" t="str">
        <f>IF(C261&lt;=72.0,"Y","N")</f>
        <v>Y</v>
      </c>
      <c r="F261" s="46">
        <f>IF(E261="Y",D261,"")</f>
        <v>84.33</v>
      </c>
    </row>
    <row r="262">
      <c r="A262" s="46" t="inlineStr">
        <is>
          <t>W06</t>
        </is>
      </c>
      <c r="B262" s="46" t="n">
        <v>15</v>
      </c>
      <c r="C262" s="47" t="n">
        <v>40</v>
      </c>
      <c r="D262" s="47" t="n">
        <v>84.4</v>
      </c>
      <c r="E262" s="46" t="str">
        <f>IF(C262&lt;=72.0,"Y","N")</f>
        <v>Y</v>
      </c>
      <c r="F262" s="46">
        <f>IF(E262="Y",D262,"")</f>
        <v>84.4</v>
      </c>
    </row>
    <row r="263">
      <c r="A263" s="46" t="inlineStr">
        <is>
          <t>W06</t>
        </is>
      </c>
      <c r="B263" s="46" t="n">
        <v>16</v>
      </c>
      <c r="C263" s="47" t="n">
        <v>40</v>
      </c>
      <c r="D263" s="47" t="n">
        <v>85.17</v>
      </c>
      <c r="E263" s="46" t="str">
        <f>IF(C263&lt;=72.0,"Y","N")</f>
        <v>Y</v>
      </c>
      <c r="F263" s="46">
        <f>IF(E263="Y",D263,"")</f>
        <v>85.17</v>
      </c>
    </row>
    <row r="264">
      <c r="A264" s="46" t="inlineStr">
        <is>
          <t>W06</t>
        </is>
      </c>
      <c r="B264" s="46" t="n">
        <v>17</v>
      </c>
      <c r="C264" s="47" t="n">
        <v>40</v>
      </c>
      <c r="D264" s="47" t="n">
        <v>84.27</v>
      </c>
      <c r="E264" s="46" t="str">
        <f>IF(C264&lt;=72.0,"Y","N")</f>
        <v>Y</v>
      </c>
      <c r="F264" s="46">
        <f>IF(E264="Y",D264,"")</f>
        <v>84.27</v>
      </c>
    </row>
    <row r="265">
      <c r="A265" s="46" t="inlineStr">
        <is>
          <t>W06</t>
        </is>
      </c>
      <c r="B265" s="46" t="n">
        <v>18</v>
      </c>
      <c r="C265" s="47" t="n">
        <v>40</v>
      </c>
      <c r="D265" s="47" t="n">
        <v>84.1</v>
      </c>
      <c r="E265" s="46" t="str">
        <f>IF(C265&lt;=72.0,"Y","N")</f>
        <v>Y</v>
      </c>
      <c r="F265" s="46">
        <f>IF(E265="Y",D265,"")</f>
        <v>84.1</v>
      </c>
    </row>
    <row r="266">
      <c r="A266" s="46" t="inlineStr">
        <is>
          <t>W06</t>
        </is>
      </c>
      <c r="B266" s="46" t="n">
        <v>19</v>
      </c>
      <c r="C266" s="47" t="n">
        <v>40</v>
      </c>
      <c r="D266" s="47" t="n">
        <v>85.45</v>
      </c>
      <c r="E266" s="46" t="str">
        <f>IF(C266&lt;=72.0,"Y","N")</f>
        <v>Y</v>
      </c>
      <c r="F266" s="46">
        <f>IF(E266="Y",D266,"")</f>
        <v>85.45</v>
      </c>
    </row>
    <row r="267">
      <c r="A267" s="46" t="inlineStr">
        <is>
          <t>W06</t>
        </is>
      </c>
      <c r="B267" s="46" t="n">
        <v>20</v>
      </c>
      <c r="C267" s="47" t="n">
        <v>40</v>
      </c>
      <c r="D267" s="47" t="n">
        <v>84.19</v>
      </c>
      <c r="E267" s="46" t="str">
        <f>IF(C267&lt;=72.0,"Y","N")</f>
        <v>Y</v>
      </c>
      <c r="F267" s="46">
        <f>IF(E267="Y",D267,"")</f>
        <v>84.19</v>
      </c>
    </row>
    <row r="268">
      <c r="A268" s="46" t="inlineStr">
        <is>
          <t>W06</t>
        </is>
      </c>
      <c r="B268" s="46" t="n">
        <v>21</v>
      </c>
      <c r="C268" s="47" t="n">
        <v>40</v>
      </c>
      <c r="D268" s="47" t="n">
        <v>83.93</v>
      </c>
      <c r="E268" s="46" t="str">
        <f>IF(C268&lt;=72.0,"Y","N")</f>
        <v>Y</v>
      </c>
      <c r="F268" s="46">
        <f>IF(E268="Y",D268,"")</f>
        <v>83.93</v>
      </c>
    </row>
    <row r="269">
      <c r="A269" s="46" t="inlineStr">
        <is>
          <t>W06</t>
        </is>
      </c>
      <c r="B269" s="46" t="n">
        <v>22</v>
      </c>
      <c r="C269" s="47" t="n">
        <v>58</v>
      </c>
      <c r="D269" s="47" t="n">
        <v>87.08</v>
      </c>
      <c r="E269" s="46" t="str">
        <f>IF(C269&lt;=72.0,"Y","N")</f>
        <v>Y</v>
      </c>
      <c r="F269" s="46">
        <f>IF(E269="Y",D269,"")</f>
        <v>87.08</v>
      </c>
    </row>
    <row r="270">
      <c r="A270" s="46" t="inlineStr">
        <is>
          <t>W06</t>
        </is>
      </c>
      <c r="B270" s="46" t="n">
        <v>23</v>
      </c>
      <c r="C270" s="47" t="n">
        <v>58</v>
      </c>
      <c r="D270" s="47" t="n">
        <v>87.9</v>
      </c>
      <c r="E270" s="46" t="str">
        <f>IF(C270&lt;=72.0,"Y","N")</f>
        <v>Y</v>
      </c>
      <c r="F270" s="46">
        <f>IF(E270="Y",D270,"")</f>
        <v>87.9</v>
      </c>
    </row>
    <row r="271">
      <c r="A271" s="46" t="inlineStr">
        <is>
          <t>W06</t>
        </is>
      </c>
      <c r="B271" s="46" t="n">
        <v>24</v>
      </c>
      <c r="C271" s="47" t="n">
        <v>58</v>
      </c>
      <c r="D271" s="47" t="n">
        <v>87.95</v>
      </c>
      <c r="E271" s="46" t="str">
        <f>IF(C271&lt;=72.0,"Y","N")</f>
        <v>Y</v>
      </c>
      <c r="F271" s="46">
        <f>IF(E271="Y",D271,"")</f>
        <v>87.95</v>
      </c>
    </row>
    <row r="272">
      <c r="A272" s="46" t="inlineStr">
        <is>
          <t>W06</t>
        </is>
      </c>
      <c r="B272" s="46" t="n">
        <v>25</v>
      </c>
      <c r="C272" s="47" t="n">
        <v>58</v>
      </c>
      <c r="D272" s="47" t="n">
        <v>87.93</v>
      </c>
      <c r="E272" s="46" t="str">
        <f>IF(C272&lt;=72.0,"Y","N")</f>
        <v>Y</v>
      </c>
      <c r="F272" s="46">
        <f>IF(E272="Y",D272,"")</f>
        <v>87.93</v>
      </c>
    </row>
    <row r="273">
      <c r="A273" s="46" t="inlineStr">
        <is>
          <t>W06</t>
        </is>
      </c>
      <c r="B273" s="46" t="n">
        <v>26</v>
      </c>
      <c r="C273" s="47" t="n">
        <v>58</v>
      </c>
      <c r="D273" s="47" t="n">
        <v>87.57</v>
      </c>
      <c r="E273" s="46" t="str">
        <f>IF(C273&lt;=72.0,"Y","N")</f>
        <v>Y</v>
      </c>
      <c r="F273" s="46">
        <f>IF(E273="Y",D273,"")</f>
        <v>87.57</v>
      </c>
    </row>
    <row r="274">
      <c r="A274" s="46" t="inlineStr">
        <is>
          <t>W06</t>
        </is>
      </c>
      <c r="B274" s="46" t="n">
        <v>27</v>
      </c>
      <c r="C274" s="47" t="n">
        <v>58</v>
      </c>
      <c r="D274" s="47" t="n">
        <v>87.19</v>
      </c>
      <c r="E274" s="46" t="str">
        <f>IF(C274&lt;=72.0,"Y","N")</f>
        <v>Y</v>
      </c>
      <c r="F274" s="46">
        <f>IF(E274="Y",D274,"")</f>
        <v>87.19</v>
      </c>
    </row>
    <row r="275">
      <c r="A275" s="46" t="inlineStr">
        <is>
          <t>W06</t>
        </is>
      </c>
      <c r="B275" s="46" t="n">
        <v>28</v>
      </c>
      <c r="C275" s="47" t="n">
        <v>58</v>
      </c>
      <c r="D275" s="47" t="n">
        <v>87.17</v>
      </c>
      <c r="E275" s="46" t="str">
        <f>IF(C275&lt;=72.0,"Y","N")</f>
        <v>Y</v>
      </c>
      <c r="F275" s="46">
        <f>IF(E275="Y",D275,"")</f>
        <v>87.17</v>
      </c>
    </row>
    <row r="276">
      <c r="A276" s="46" t="inlineStr">
        <is>
          <t>W06</t>
        </is>
      </c>
      <c r="B276" s="46" t="n">
        <v>29</v>
      </c>
      <c r="C276" s="47" t="n">
        <v>58</v>
      </c>
      <c r="D276" s="47" t="n">
        <v>88.01</v>
      </c>
      <c r="E276" s="46" t="str">
        <f>IF(C276&lt;=72.0,"Y","N")</f>
        <v>Y</v>
      </c>
      <c r="F276" s="46">
        <f>IF(E276="Y",D276,"")</f>
        <v>88.01</v>
      </c>
    </row>
    <row r="277">
      <c r="A277" s="46" t="inlineStr">
        <is>
          <t>W06</t>
        </is>
      </c>
      <c r="B277" s="46" t="n">
        <v>30</v>
      </c>
      <c r="C277" s="47" t="n">
        <v>58</v>
      </c>
      <c r="D277" s="47" t="n">
        <v>87.29</v>
      </c>
      <c r="E277" s="46" t="str">
        <f>IF(C277&lt;=72.0,"Y","N")</f>
        <v>Y</v>
      </c>
      <c r="F277" s="46">
        <f>IF(E277="Y",D277,"")</f>
        <v>87.29</v>
      </c>
    </row>
    <row r="278">
      <c r="A278" s="46" t="inlineStr">
        <is>
          <t>W06</t>
        </is>
      </c>
      <c r="B278" s="46" t="n">
        <v>31</v>
      </c>
      <c r="C278" s="47" t="n">
        <v>58</v>
      </c>
      <c r="D278" s="47" t="n">
        <v>87.68</v>
      </c>
      <c r="E278" s="46" t="str">
        <f>IF(C278&lt;=72.0,"Y","N")</f>
        <v>Y</v>
      </c>
      <c r="F278" s="46">
        <f>IF(E278="Y",D278,"")</f>
        <v>87.68</v>
      </c>
    </row>
    <row r="279">
      <c r="A279" s="46" t="inlineStr">
        <is>
          <t>W06</t>
        </is>
      </c>
      <c r="B279" s="46" t="n">
        <v>32</v>
      </c>
      <c r="C279" s="47" t="n">
        <v>58</v>
      </c>
      <c r="D279" s="47" t="n">
        <v>87.75</v>
      </c>
      <c r="E279" s="46" t="str">
        <f>IF(C279&lt;=72.0,"Y","N")</f>
        <v>Y</v>
      </c>
      <c r="F279" s="46">
        <f>IF(E279="Y",D279,"")</f>
        <v>87.75</v>
      </c>
    </row>
    <row r="280">
      <c r="A280" s="46" t="inlineStr">
        <is>
          <t>W06</t>
        </is>
      </c>
      <c r="B280" s="46" t="n">
        <v>33</v>
      </c>
      <c r="C280" s="47" t="n">
        <v>58</v>
      </c>
      <c r="D280" s="47" t="n">
        <v>87.56</v>
      </c>
      <c r="E280" s="46" t="str">
        <f>IF(C280&lt;=72.0,"Y","N")</f>
        <v>Y</v>
      </c>
      <c r="F280" s="46">
        <f>IF(E280="Y",D280,"")</f>
        <v>87.56</v>
      </c>
    </row>
    <row r="281">
      <c r="A281" s="46" t="inlineStr">
        <is>
          <t>W06</t>
        </is>
      </c>
      <c r="B281" s="46" t="n">
        <v>34</v>
      </c>
      <c r="C281" s="47" t="n">
        <v>73</v>
      </c>
      <c r="D281" s="47" t="n">
        <v>91.83</v>
      </c>
      <c r="E281" s="46" t="str">
        <f>IF(C281&lt;=72.0,"Y","N")</f>
        <v>N</v>
      </c>
      <c r="F281" s="46" t="str">
        <f>IF(E281="Y",D281,"")</f>
        <v/>
      </c>
    </row>
    <row r="282">
      <c r="A282" s="46" t="inlineStr">
        <is>
          <t>W06</t>
        </is>
      </c>
      <c r="B282" s="46" t="n">
        <v>35</v>
      </c>
      <c r="C282" s="47" t="n">
        <v>73</v>
      </c>
      <c r="D282" s="47" t="n">
        <v>91.85</v>
      </c>
      <c r="E282" s="46" t="str">
        <f>IF(C282&lt;=72.0,"Y","N")</f>
        <v>N</v>
      </c>
      <c r="F282" s="46" t="str">
        <f>IF(E282="Y",D282,"")</f>
        <v/>
      </c>
    </row>
    <row r="283">
      <c r="A283" s="46" t="inlineStr">
        <is>
          <t>W06</t>
        </is>
      </c>
      <c r="B283" s="46" t="n">
        <v>36</v>
      </c>
      <c r="C283" s="47" t="n">
        <v>73</v>
      </c>
      <c r="D283" s="47" t="n">
        <v>90.78</v>
      </c>
      <c r="E283" s="46" t="str">
        <f>IF(C283&lt;=72.0,"Y","N")</f>
        <v>N</v>
      </c>
      <c r="F283" s="46" t="str">
        <f>IF(E283="Y",D283,"")</f>
        <v/>
      </c>
    </row>
    <row r="284">
      <c r="A284" s="46" t="inlineStr">
        <is>
          <t>W06</t>
        </is>
      </c>
      <c r="B284" s="46" t="n">
        <v>37</v>
      </c>
      <c r="C284" s="47" t="n">
        <v>73</v>
      </c>
      <c r="D284" s="47" t="n">
        <v>91.47</v>
      </c>
      <c r="E284" s="46" t="str">
        <f>IF(C284&lt;=72.0,"Y","N")</f>
        <v>N</v>
      </c>
      <c r="F284" s="46" t="str">
        <f>IF(E284="Y",D284,"")</f>
        <v/>
      </c>
    </row>
    <row r="285">
      <c r="A285" s="46" t="inlineStr">
        <is>
          <t>W06</t>
        </is>
      </c>
      <c r="B285" s="46" t="n">
        <v>38</v>
      </c>
      <c r="C285" s="47" t="n">
        <v>73</v>
      </c>
      <c r="D285" s="47" t="n">
        <v>91.92</v>
      </c>
      <c r="E285" s="46" t="str">
        <f>IF(C285&lt;=72.0,"Y","N")</f>
        <v>N</v>
      </c>
      <c r="F285" s="46" t="str">
        <f>IF(E285="Y",D285,"")</f>
        <v/>
      </c>
    </row>
    <row r="286">
      <c r="A286" s="46" t="inlineStr">
        <is>
          <t>W06</t>
        </is>
      </c>
      <c r="B286" s="46" t="n">
        <v>39</v>
      </c>
      <c r="C286" s="47" t="n">
        <v>73</v>
      </c>
      <c r="D286" s="47" t="n">
        <v>91.92</v>
      </c>
      <c r="E286" s="46" t="str">
        <f>IF(C286&lt;=72.0,"Y","N")</f>
        <v>N</v>
      </c>
      <c r="F286" s="46" t="str">
        <f>IF(E286="Y",D286,"")</f>
        <v/>
      </c>
    </row>
    <row r="287">
      <c r="A287" s="46" t="inlineStr">
        <is>
          <t>W06</t>
        </is>
      </c>
      <c r="B287" s="46" t="n">
        <v>40</v>
      </c>
      <c r="C287" s="47" t="n">
        <v>73</v>
      </c>
      <c r="D287" s="47" t="n">
        <v>91.64</v>
      </c>
      <c r="E287" s="46" t="str">
        <f>IF(C287&lt;=72.0,"Y","N")</f>
        <v>N</v>
      </c>
      <c r="F287" s="46" t="str">
        <f>IF(E287="Y",D287,"")</f>
        <v/>
      </c>
    </row>
    <row r="288">
      <c r="A288" s="46" t="inlineStr">
        <is>
          <t>W06</t>
        </is>
      </c>
      <c r="B288" s="46" t="n">
        <v>41</v>
      </c>
      <c r="C288" s="47" t="n">
        <v>73</v>
      </c>
      <c r="D288" s="47" t="n">
        <v>91.91</v>
      </c>
      <c r="E288" s="46" t="str">
        <f>IF(C288&lt;=72.0,"Y","N")</f>
        <v>N</v>
      </c>
      <c r="F288" s="46" t="str">
        <f>IF(E288="Y",D288,"")</f>
        <v/>
      </c>
    </row>
    <row r="289">
      <c r="A289" s="46" t="inlineStr">
        <is>
          <t>W06</t>
        </is>
      </c>
      <c r="B289" s="46" t="n">
        <v>42</v>
      </c>
      <c r="C289" s="47" t="n">
        <v>73</v>
      </c>
      <c r="D289" s="47" t="n">
        <v>90.79</v>
      </c>
      <c r="E289" s="46" t="str">
        <f>IF(C289&lt;=72.0,"Y","N")</f>
        <v>N</v>
      </c>
      <c r="F289" s="46" t="str">
        <f>IF(E289="Y",D289,"")</f>
        <v/>
      </c>
    </row>
    <row r="290">
      <c r="A290" s="46" t="inlineStr">
        <is>
          <t>W06</t>
        </is>
      </c>
      <c r="B290" s="46" t="n">
        <v>43</v>
      </c>
      <c r="C290" s="47" t="n">
        <v>73</v>
      </c>
      <c r="D290" s="47" t="n">
        <v>91.37</v>
      </c>
      <c r="E290" s="46" t="str">
        <f>IF(C290&lt;=72.0,"Y","N")</f>
        <v>N</v>
      </c>
      <c r="F290" s="46" t="str">
        <f>IF(E290="Y",D290,"")</f>
        <v/>
      </c>
    </row>
    <row r="291">
      <c r="A291" s="46" t="inlineStr">
        <is>
          <t>W06</t>
        </is>
      </c>
      <c r="B291" s="46" t="n">
        <v>44</v>
      </c>
      <c r="C291" s="47" t="n">
        <v>73</v>
      </c>
      <c r="D291" s="47" t="n">
        <v>91.41</v>
      </c>
      <c r="E291" s="46" t="str">
        <f>IF(C291&lt;=72.0,"Y","N")</f>
        <v>N</v>
      </c>
      <c r="F291" s="46" t="str">
        <f>IF(E291="Y",D291,"")</f>
        <v/>
      </c>
    </row>
    <row r="292">
      <c r="A292" s="46" t="inlineStr">
        <is>
          <t>W06</t>
        </is>
      </c>
      <c r="B292" s="46" t="n">
        <v>45</v>
      </c>
      <c r="C292" s="47" t="n">
        <v>73</v>
      </c>
      <c r="D292" s="47" t="n">
        <v>92</v>
      </c>
      <c r="E292" s="46" t="str">
        <f>IF(C292&lt;=72.0,"Y","N")</f>
        <v>N</v>
      </c>
      <c r="F292" s="46" t="str">
        <f>IF(E292="Y",D292,"")</f>
        <v/>
      </c>
    </row>
    <row r="293">
      <c r="A293" s="46" t="inlineStr">
        <is>
          <t>W06</t>
        </is>
      </c>
      <c r="B293" s="46" t="n">
        <v>46</v>
      </c>
      <c r="C293" s="47" t="n">
        <v>73</v>
      </c>
      <c r="D293" s="47" t="n">
        <v>90.56</v>
      </c>
      <c r="E293" s="46" t="str">
        <f>IF(C293&lt;=72.0,"Y","N")</f>
        <v>N</v>
      </c>
      <c r="F293" s="46" t="str">
        <f>IF(E293="Y",D293,"")</f>
        <v/>
      </c>
    </row>
    <row r="294">
      <c r="A294" s="46" t="inlineStr">
        <is>
          <t>W06</t>
        </is>
      </c>
      <c r="B294" s="46" t="n">
        <v>47</v>
      </c>
      <c r="C294" s="47" t="n">
        <v>73</v>
      </c>
      <c r="D294" s="47" t="n">
        <v>90.71</v>
      </c>
      <c r="E294" s="46" t="str">
        <f>IF(C294&lt;=72.0,"Y","N")</f>
        <v>N</v>
      </c>
      <c r="F294" s="46" t="str">
        <f>IF(E294="Y",D294,"")</f>
        <v/>
      </c>
    </row>
    <row r="295">
      <c r="A295" s="46" t="inlineStr">
        <is>
          <t>W06</t>
        </is>
      </c>
      <c r="B295" s="46" t="n">
        <v>48</v>
      </c>
      <c r="C295" s="47" t="n">
        <v>73</v>
      </c>
      <c r="D295" s="47" t="n">
        <v>91.76</v>
      </c>
      <c r="E295" s="46" t="str">
        <f>IF(C295&lt;=72.0,"Y","N")</f>
        <v>N</v>
      </c>
      <c r="F295" s="46" t="str">
        <f>IF(E295="Y",D295,"")</f>
        <v/>
      </c>
    </row>
    <row r="296">
      <c r="A296" s="46" t="inlineStr">
        <is>
          <t>W06</t>
        </is>
      </c>
      <c r="B296" s="46" t="n">
        <v>49</v>
      </c>
      <c r="C296" s="47" t="n">
        <v>73</v>
      </c>
      <c r="D296" s="47" t="n">
        <v>91.13</v>
      </c>
      <c r="E296" s="46" t="str">
        <f>IF(C296&lt;=72.0,"Y","N")</f>
        <v>N</v>
      </c>
      <c r="F296" s="46" t="str">
        <f>IF(E296="Y",D296,"")</f>
        <v/>
      </c>
    </row>
    <row r="297">
      <c r="A297" s="46" t="inlineStr">
        <is>
          <t>W07</t>
        </is>
      </c>
      <c r="B297" s="46" t="n">
        <v>1</v>
      </c>
      <c r="C297" s="47" t="n">
        <v>0</v>
      </c>
      <c r="D297" s="47" t="n">
        <v>83.22</v>
      </c>
      <c r="E297" s="46" t="str">
        <f>IF(C297&lt;=72.0,"Y","N")</f>
        <v>Y</v>
      </c>
      <c r="F297" s="46">
        <f>IF(E297="Y",D297,"")</f>
        <v>83.22</v>
      </c>
    </row>
    <row r="298">
      <c r="A298" s="46" t="inlineStr">
        <is>
          <t>W07</t>
        </is>
      </c>
      <c r="B298" s="46" t="n">
        <v>2</v>
      </c>
      <c r="C298" s="47" t="n">
        <v>22</v>
      </c>
      <c r="D298" s="47" t="n">
        <v>83.63</v>
      </c>
      <c r="E298" s="46" t="str">
        <f>IF(C298&lt;=72.0,"Y","N")</f>
        <v>Y</v>
      </c>
      <c r="F298" s="46">
        <f>IF(E298="Y",D298,"")</f>
        <v>83.63</v>
      </c>
    </row>
    <row r="299">
      <c r="A299" s="46" t="inlineStr">
        <is>
          <t>W07</t>
        </is>
      </c>
      <c r="B299" s="46" t="n">
        <v>3</v>
      </c>
      <c r="C299" s="47" t="n">
        <v>22</v>
      </c>
      <c r="D299" s="47" t="n">
        <v>85.1</v>
      </c>
      <c r="E299" s="46" t="str">
        <f>IF(C299&lt;=72.0,"Y","N")</f>
        <v>Y</v>
      </c>
      <c r="F299" s="46">
        <f>IF(E299="Y",D299,"")</f>
        <v>85.1</v>
      </c>
    </row>
    <row r="300">
      <c r="A300" s="46" t="inlineStr">
        <is>
          <t>W07</t>
        </is>
      </c>
      <c r="B300" s="46" t="n">
        <v>4</v>
      </c>
      <c r="C300" s="47" t="n">
        <v>22</v>
      </c>
      <c r="D300" s="47" t="n">
        <v>84.92</v>
      </c>
      <c r="E300" s="46" t="str">
        <f>IF(C300&lt;=72.0,"Y","N")</f>
        <v>Y</v>
      </c>
      <c r="F300" s="46">
        <f>IF(E300="Y",D300,"")</f>
        <v>84.92</v>
      </c>
    </row>
    <row r="301">
      <c r="A301" s="46" t="inlineStr">
        <is>
          <t>W07</t>
        </is>
      </c>
      <c r="B301" s="46" t="n">
        <v>5</v>
      </c>
      <c r="C301" s="47" t="n">
        <v>22</v>
      </c>
      <c r="D301" s="47" t="n">
        <v>83.78</v>
      </c>
      <c r="E301" s="46" t="str">
        <f>IF(C301&lt;=72.0,"Y","N")</f>
        <v>Y</v>
      </c>
      <c r="F301" s="46">
        <f>IF(E301="Y",D301,"")</f>
        <v>83.78</v>
      </c>
    </row>
    <row r="302">
      <c r="A302" s="46" t="inlineStr">
        <is>
          <t>W07</t>
        </is>
      </c>
      <c r="B302" s="46" t="n">
        <v>6</v>
      </c>
      <c r="C302" s="47" t="n">
        <v>22</v>
      </c>
      <c r="D302" s="47" t="n">
        <v>84.52</v>
      </c>
      <c r="E302" s="46" t="str">
        <f>IF(C302&lt;=72.0,"Y","N")</f>
        <v>Y</v>
      </c>
      <c r="F302" s="46">
        <f>IF(E302="Y",D302,"")</f>
        <v>84.52</v>
      </c>
    </row>
    <row r="303">
      <c r="A303" s="46" t="inlineStr">
        <is>
          <t>W07</t>
        </is>
      </c>
      <c r="B303" s="46" t="n">
        <v>7</v>
      </c>
      <c r="C303" s="47" t="n">
        <v>22</v>
      </c>
      <c r="D303" s="47" t="n">
        <v>84.83</v>
      </c>
      <c r="E303" s="46" t="str">
        <f>IF(C303&lt;=72.0,"Y","N")</f>
        <v>Y</v>
      </c>
      <c r="F303" s="46">
        <f>IF(E303="Y",D303,"")</f>
        <v>84.83</v>
      </c>
    </row>
    <row r="304">
      <c r="A304" s="46" t="inlineStr">
        <is>
          <t>W07</t>
        </is>
      </c>
      <c r="B304" s="46" t="n">
        <v>8</v>
      </c>
      <c r="C304" s="47" t="n">
        <v>22</v>
      </c>
      <c r="D304" s="47" t="n">
        <v>83.9</v>
      </c>
      <c r="E304" s="46" t="str">
        <f>IF(C304&lt;=72.0,"Y","N")</f>
        <v>Y</v>
      </c>
      <c r="F304" s="46">
        <f>IF(E304="Y",D304,"")</f>
        <v>83.9</v>
      </c>
    </row>
    <row r="305">
      <c r="A305" s="46" t="inlineStr">
        <is>
          <t>W07</t>
        </is>
      </c>
      <c r="B305" s="46" t="n">
        <v>9</v>
      </c>
      <c r="C305" s="47" t="n">
        <v>22</v>
      </c>
      <c r="D305" s="47" t="n">
        <v>84.12</v>
      </c>
      <c r="E305" s="46" t="str">
        <f>IF(C305&lt;=72.0,"Y","N")</f>
        <v>Y</v>
      </c>
      <c r="F305" s="46">
        <f>IF(E305="Y",D305,"")</f>
        <v>84.12</v>
      </c>
    </row>
    <row r="306">
      <c r="A306" s="46" t="inlineStr">
        <is>
          <t>W07</t>
        </is>
      </c>
      <c r="B306" s="46" t="n">
        <v>10</v>
      </c>
      <c r="C306" s="47" t="n">
        <v>40</v>
      </c>
      <c r="D306" s="47" t="n">
        <v>86.51</v>
      </c>
      <c r="E306" s="46" t="str">
        <f>IF(C306&lt;=72.0,"Y","N")</f>
        <v>Y</v>
      </c>
      <c r="F306" s="46">
        <f>IF(E306="Y",D306,"")</f>
        <v>86.51</v>
      </c>
    </row>
    <row r="307">
      <c r="A307" s="46" t="inlineStr">
        <is>
          <t>W07</t>
        </is>
      </c>
      <c r="B307" s="46" t="n">
        <v>11</v>
      </c>
      <c r="C307" s="47" t="n">
        <v>40</v>
      </c>
      <c r="D307" s="47" t="n">
        <v>86.38</v>
      </c>
      <c r="E307" s="46" t="str">
        <f>IF(C307&lt;=72.0,"Y","N")</f>
        <v>Y</v>
      </c>
      <c r="F307" s="46">
        <f>IF(E307="Y",D307,"")</f>
        <v>86.38</v>
      </c>
    </row>
    <row r="308">
      <c r="A308" s="46" t="inlineStr">
        <is>
          <t>W07</t>
        </is>
      </c>
      <c r="B308" s="46" t="n">
        <v>12</v>
      </c>
      <c r="C308" s="47" t="n">
        <v>40</v>
      </c>
      <c r="D308" s="47" t="n">
        <v>86.44</v>
      </c>
      <c r="E308" s="46" t="str">
        <f>IF(C308&lt;=72.0,"Y","N")</f>
        <v>Y</v>
      </c>
      <c r="F308" s="46">
        <f>IF(E308="Y",D308,"")</f>
        <v>86.44</v>
      </c>
    </row>
    <row r="309">
      <c r="A309" s="46" t="inlineStr">
        <is>
          <t>W07</t>
        </is>
      </c>
      <c r="B309" s="46" t="n">
        <v>13</v>
      </c>
      <c r="C309" s="47" t="n">
        <v>40</v>
      </c>
      <c r="D309" s="47" t="n">
        <v>86.08</v>
      </c>
      <c r="E309" s="46" t="str">
        <f>IF(C309&lt;=72.0,"Y","N")</f>
        <v>Y</v>
      </c>
      <c r="F309" s="46">
        <f>IF(E309="Y",D309,"")</f>
        <v>86.08</v>
      </c>
    </row>
    <row r="310">
      <c r="A310" s="46" t="inlineStr">
        <is>
          <t>W07</t>
        </is>
      </c>
      <c r="B310" s="46" t="n">
        <v>14</v>
      </c>
      <c r="C310" s="47" t="n">
        <v>40</v>
      </c>
      <c r="D310" s="47" t="n">
        <v>85.79</v>
      </c>
      <c r="E310" s="46" t="str">
        <f>IF(C310&lt;=72.0,"Y","N")</f>
        <v>Y</v>
      </c>
      <c r="F310" s="46">
        <f>IF(E310="Y",D310,"")</f>
        <v>85.79</v>
      </c>
    </row>
    <row r="311">
      <c r="A311" s="46" t="inlineStr">
        <is>
          <t>W07</t>
        </is>
      </c>
      <c r="B311" s="46" t="n">
        <v>15</v>
      </c>
      <c r="C311" s="47" t="n">
        <v>40</v>
      </c>
      <c r="D311" s="47" t="n">
        <v>86.36</v>
      </c>
      <c r="E311" s="46" t="str">
        <f>IF(C311&lt;=72.0,"Y","N")</f>
        <v>Y</v>
      </c>
      <c r="F311" s="46">
        <f>IF(E311="Y",D311,"")</f>
        <v>86.36</v>
      </c>
    </row>
    <row r="312">
      <c r="A312" s="46" t="inlineStr">
        <is>
          <t>W07</t>
        </is>
      </c>
      <c r="B312" s="46" t="n">
        <v>16</v>
      </c>
      <c r="C312" s="47" t="n">
        <v>40</v>
      </c>
      <c r="D312" s="47" t="n">
        <v>86.07</v>
      </c>
      <c r="E312" s="46" t="str">
        <f>IF(C312&lt;=72.0,"Y","N")</f>
        <v>Y</v>
      </c>
      <c r="F312" s="46">
        <f>IF(E312="Y",D312,"")</f>
        <v>86.07</v>
      </c>
    </row>
    <row r="313">
      <c r="A313" s="46" t="inlineStr">
        <is>
          <t>W07</t>
        </is>
      </c>
      <c r="B313" s="46" t="n">
        <v>17</v>
      </c>
      <c r="C313" s="47" t="n">
        <v>40</v>
      </c>
      <c r="D313" s="47" t="n">
        <v>86.24</v>
      </c>
      <c r="E313" s="46" t="str">
        <f>IF(C313&lt;=72.0,"Y","N")</f>
        <v>Y</v>
      </c>
      <c r="F313" s="46">
        <f>IF(E313="Y",D313,"")</f>
        <v>86.24</v>
      </c>
    </row>
    <row r="314">
      <c r="A314" s="46" t="inlineStr">
        <is>
          <t>W07</t>
        </is>
      </c>
      <c r="B314" s="46" t="n">
        <v>18</v>
      </c>
      <c r="C314" s="47" t="n">
        <v>40</v>
      </c>
      <c r="D314" s="47" t="n">
        <v>86.03</v>
      </c>
      <c r="E314" s="46" t="str">
        <f>IF(C314&lt;=72.0,"Y","N")</f>
        <v>Y</v>
      </c>
      <c r="F314" s="46">
        <f>IF(E314="Y",D314,"")</f>
        <v>86.03</v>
      </c>
    </row>
    <row r="315">
      <c r="A315" s="46" t="inlineStr">
        <is>
          <t>W07</t>
        </is>
      </c>
      <c r="B315" s="46" t="n">
        <v>19</v>
      </c>
      <c r="C315" s="47" t="n">
        <v>40</v>
      </c>
      <c r="D315" s="47" t="n">
        <v>86.91</v>
      </c>
      <c r="E315" s="46" t="str">
        <f>IF(C315&lt;=72.0,"Y","N")</f>
        <v>Y</v>
      </c>
      <c r="F315" s="46">
        <f>IF(E315="Y",D315,"")</f>
        <v>86.91</v>
      </c>
    </row>
    <row r="316">
      <c r="A316" s="46" t="inlineStr">
        <is>
          <t>W07</t>
        </is>
      </c>
      <c r="B316" s="46" t="n">
        <v>20</v>
      </c>
      <c r="C316" s="47" t="n">
        <v>40</v>
      </c>
      <c r="D316" s="47" t="n">
        <v>87.06</v>
      </c>
      <c r="E316" s="46" t="str">
        <f>IF(C316&lt;=72.0,"Y","N")</f>
        <v>Y</v>
      </c>
      <c r="F316" s="46">
        <f>IF(E316="Y",D316,"")</f>
        <v>87.06</v>
      </c>
    </row>
    <row r="317">
      <c r="A317" s="46" t="inlineStr">
        <is>
          <t>W07</t>
        </is>
      </c>
      <c r="B317" s="46" t="n">
        <v>21</v>
      </c>
      <c r="C317" s="47" t="n">
        <v>40</v>
      </c>
      <c r="D317" s="47" t="n">
        <v>86.69</v>
      </c>
      <c r="E317" s="46" t="str">
        <f>IF(C317&lt;=72.0,"Y","N")</f>
        <v>Y</v>
      </c>
      <c r="F317" s="46">
        <f>IF(E317="Y",D317,"")</f>
        <v>86.69</v>
      </c>
    </row>
    <row r="318">
      <c r="A318" s="46" t="inlineStr">
        <is>
          <t>W07</t>
        </is>
      </c>
      <c r="B318" s="46" t="n">
        <v>22</v>
      </c>
      <c r="C318" s="47" t="n">
        <v>58</v>
      </c>
      <c r="D318" s="47" t="n">
        <v>89.39</v>
      </c>
      <c r="E318" s="46" t="str">
        <f>IF(C318&lt;=72.0,"Y","N")</f>
        <v>Y</v>
      </c>
      <c r="F318" s="46">
        <f>IF(E318="Y",D318,"")</f>
        <v>89.39</v>
      </c>
    </row>
    <row r="319">
      <c r="A319" s="46" t="inlineStr">
        <is>
          <t>W07</t>
        </is>
      </c>
      <c r="B319" s="46" t="n">
        <v>23</v>
      </c>
      <c r="C319" s="47" t="n">
        <v>58</v>
      </c>
      <c r="D319" s="47" t="n">
        <v>89.51</v>
      </c>
      <c r="E319" s="46" t="str">
        <f>IF(C319&lt;=72.0,"Y","N")</f>
        <v>Y</v>
      </c>
      <c r="F319" s="46">
        <f>IF(E319="Y",D319,"")</f>
        <v>89.51</v>
      </c>
    </row>
    <row r="320">
      <c r="A320" s="46" t="inlineStr">
        <is>
          <t>W07</t>
        </is>
      </c>
      <c r="B320" s="46" t="n">
        <v>24</v>
      </c>
      <c r="C320" s="47" t="n">
        <v>58</v>
      </c>
      <c r="D320" s="47" t="n">
        <v>89.67</v>
      </c>
      <c r="E320" s="46" t="str">
        <f>IF(C320&lt;=72.0,"Y","N")</f>
        <v>Y</v>
      </c>
      <c r="F320" s="46">
        <f>IF(E320="Y",D320,"")</f>
        <v>89.67</v>
      </c>
    </row>
    <row r="321">
      <c r="A321" s="46" t="inlineStr">
        <is>
          <t>W07</t>
        </is>
      </c>
      <c r="B321" s="46" t="n">
        <v>25</v>
      </c>
      <c r="C321" s="47" t="n">
        <v>58</v>
      </c>
      <c r="D321" s="47" t="n">
        <v>88.91</v>
      </c>
      <c r="E321" s="46" t="str">
        <f>IF(C321&lt;=72.0,"Y","N")</f>
        <v>Y</v>
      </c>
      <c r="F321" s="46">
        <f>IF(E321="Y",D321,"")</f>
        <v>88.91</v>
      </c>
    </row>
    <row r="322">
      <c r="A322" s="46" t="inlineStr">
        <is>
          <t>W07</t>
        </is>
      </c>
      <c r="B322" s="46" t="n">
        <v>26</v>
      </c>
      <c r="C322" s="47" t="n">
        <v>58</v>
      </c>
      <c r="D322" s="47" t="n">
        <v>89.7</v>
      </c>
      <c r="E322" s="46" t="str">
        <f>IF(C322&lt;=72.0,"Y","N")</f>
        <v>Y</v>
      </c>
      <c r="F322" s="46">
        <f>IF(E322="Y",D322,"")</f>
        <v>89.7</v>
      </c>
    </row>
    <row r="323">
      <c r="A323" s="46" t="inlineStr">
        <is>
          <t>W07</t>
        </is>
      </c>
      <c r="B323" s="46" t="n">
        <v>27</v>
      </c>
      <c r="C323" s="47" t="n">
        <v>58</v>
      </c>
      <c r="D323" s="47" t="n">
        <v>90.32</v>
      </c>
      <c r="E323" s="46" t="str">
        <f>IF(C323&lt;=72.0,"Y","N")</f>
        <v>Y</v>
      </c>
      <c r="F323" s="46">
        <f>IF(E323="Y",D323,"")</f>
        <v>90.32</v>
      </c>
    </row>
    <row r="324">
      <c r="A324" s="46" t="inlineStr">
        <is>
          <t>W07</t>
        </is>
      </c>
      <c r="B324" s="46" t="n">
        <v>28</v>
      </c>
      <c r="C324" s="47" t="n">
        <v>58</v>
      </c>
      <c r="D324" s="47" t="n">
        <v>88.9</v>
      </c>
      <c r="E324" s="46" t="str">
        <f>IF(C324&lt;=72.0,"Y","N")</f>
        <v>Y</v>
      </c>
      <c r="F324" s="46">
        <f>IF(E324="Y",D324,"")</f>
        <v>88.9</v>
      </c>
    </row>
    <row r="325">
      <c r="A325" s="46" t="inlineStr">
        <is>
          <t>W07</t>
        </is>
      </c>
      <c r="B325" s="46" t="n">
        <v>29</v>
      </c>
      <c r="C325" s="47" t="n">
        <v>58</v>
      </c>
      <c r="D325" s="47" t="n">
        <v>89.45</v>
      </c>
      <c r="E325" s="46" t="str">
        <f>IF(C325&lt;=72.0,"Y","N")</f>
        <v>Y</v>
      </c>
      <c r="F325" s="46">
        <f>IF(E325="Y",D325,"")</f>
        <v>89.45</v>
      </c>
    </row>
    <row r="326">
      <c r="A326" s="46" t="inlineStr">
        <is>
          <t>W07</t>
        </is>
      </c>
      <c r="B326" s="46" t="n">
        <v>30</v>
      </c>
      <c r="C326" s="47" t="n">
        <v>58</v>
      </c>
      <c r="D326" s="47" t="n">
        <v>88.83</v>
      </c>
      <c r="E326" s="46" t="str">
        <f>IF(C326&lt;=72.0,"Y","N")</f>
        <v>Y</v>
      </c>
      <c r="F326" s="46">
        <f>IF(E326="Y",D326,"")</f>
        <v>88.83</v>
      </c>
    </row>
    <row r="327">
      <c r="A327" s="46" t="inlineStr">
        <is>
          <t>W07</t>
        </is>
      </c>
      <c r="B327" s="46" t="n">
        <v>31</v>
      </c>
      <c r="C327" s="47" t="n">
        <v>58</v>
      </c>
      <c r="D327" s="47" t="n">
        <v>90.03</v>
      </c>
      <c r="E327" s="46" t="str">
        <f>IF(C327&lt;=72.0,"Y","N")</f>
        <v>Y</v>
      </c>
      <c r="F327" s="46">
        <f>IF(E327="Y",D327,"")</f>
        <v>90.03</v>
      </c>
    </row>
    <row r="328">
      <c r="A328" s="46" t="inlineStr">
        <is>
          <t>W07</t>
        </is>
      </c>
      <c r="B328" s="46" t="n">
        <v>32</v>
      </c>
      <c r="C328" s="47" t="n">
        <v>58</v>
      </c>
      <c r="D328" s="47" t="n">
        <v>90.1</v>
      </c>
      <c r="E328" s="46" t="str">
        <f>IF(C328&lt;=72.0,"Y","N")</f>
        <v>Y</v>
      </c>
      <c r="F328" s="46">
        <f>IF(E328="Y",D328,"")</f>
        <v>90.1</v>
      </c>
    </row>
    <row r="329">
      <c r="A329" s="46" t="inlineStr">
        <is>
          <t>W07</t>
        </is>
      </c>
      <c r="B329" s="46" t="n">
        <v>33</v>
      </c>
      <c r="C329" s="47" t="n">
        <v>58</v>
      </c>
      <c r="D329" s="47" t="n">
        <v>88.76</v>
      </c>
      <c r="E329" s="46" t="str">
        <f>IF(C329&lt;=72.0,"Y","N")</f>
        <v>Y</v>
      </c>
      <c r="F329" s="46">
        <f>IF(E329="Y",D329,"")</f>
        <v>88.76</v>
      </c>
    </row>
    <row r="330">
      <c r="A330" s="46" t="inlineStr">
        <is>
          <t>W07</t>
        </is>
      </c>
      <c r="B330" s="46" t="n">
        <v>34</v>
      </c>
      <c r="C330" s="47" t="n">
        <v>73</v>
      </c>
      <c r="D330" s="47" t="n">
        <v>93.77</v>
      </c>
      <c r="E330" s="46" t="str">
        <f>IF(C330&lt;=72.0,"Y","N")</f>
        <v>N</v>
      </c>
      <c r="F330" s="46" t="str">
        <f>IF(E330="Y",D330,"")</f>
        <v/>
      </c>
    </row>
    <row r="331">
      <c r="A331" s="46" t="inlineStr">
        <is>
          <t>W07</t>
        </is>
      </c>
      <c r="B331" s="46" t="n">
        <v>35</v>
      </c>
      <c r="C331" s="47" t="n">
        <v>73</v>
      </c>
      <c r="D331" s="47" t="n">
        <v>93.82</v>
      </c>
      <c r="E331" s="46" t="str">
        <f>IF(C331&lt;=72.0,"Y","N")</f>
        <v>N</v>
      </c>
      <c r="F331" s="46" t="str">
        <f>IF(E331="Y",D331,"")</f>
        <v/>
      </c>
    </row>
    <row r="332">
      <c r="A332" s="46" t="inlineStr">
        <is>
          <t>W07</t>
        </is>
      </c>
      <c r="B332" s="46" t="n">
        <v>36</v>
      </c>
      <c r="C332" s="47" t="n">
        <v>73</v>
      </c>
      <c r="D332" s="47" t="n">
        <v>93.69</v>
      </c>
      <c r="E332" s="46" t="str">
        <f>IF(C332&lt;=72.0,"Y","N")</f>
        <v>N</v>
      </c>
      <c r="F332" s="46" t="str">
        <f>IF(E332="Y",D332,"")</f>
        <v/>
      </c>
    </row>
    <row r="333">
      <c r="A333" s="46" t="inlineStr">
        <is>
          <t>W07</t>
        </is>
      </c>
      <c r="B333" s="46" t="n">
        <v>37</v>
      </c>
      <c r="C333" s="47" t="n">
        <v>73</v>
      </c>
      <c r="D333" s="47" t="n">
        <v>92.31</v>
      </c>
      <c r="E333" s="46" t="str">
        <f>IF(C333&lt;=72.0,"Y","N")</f>
        <v>N</v>
      </c>
      <c r="F333" s="46" t="str">
        <f>IF(E333="Y",D333,"")</f>
        <v/>
      </c>
    </row>
    <row r="334">
      <c r="A334" s="46" t="inlineStr">
        <is>
          <t>W07</t>
        </is>
      </c>
      <c r="B334" s="46" t="n">
        <v>38</v>
      </c>
      <c r="C334" s="47" t="n">
        <v>73</v>
      </c>
      <c r="D334" s="47" t="n">
        <v>93.7</v>
      </c>
      <c r="E334" s="46" t="str">
        <f>IF(C334&lt;=72.0,"Y","N")</f>
        <v>N</v>
      </c>
      <c r="F334" s="46" t="str">
        <f>IF(E334="Y",D334,"")</f>
        <v/>
      </c>
    </row>
    <row r="335">
      <c r="A335" s="46" t="inlineStr">
        <is>
          <t>W07</t>
        </is>
      </c>
      <c r="B335" s="46" t="n">
        <v>39</v>
      </c>
      <c r="C335" s="47" t="n">
        <v>73</v>
      </c>
      <c r="D335" s="47" t="n">
        <v>93.04</v>
      </c>
      <c r="E335" s="46" t="str">
        <f>IF(C335&lt;=72.0,"Y","N")</f>
        <v>N</v>
      </c>
      <c r="F335" s="46" t="str">
        <f>IF(E335="Y",D335,"")</f>
        <v/>
      </c>
    </row>
    <row r="336">
      <c r="A336" s="46" t="inlineStr">
        <is>
          <t>W07</t>
        </is>
      </c>
      <c r="B336" s="46" t="n">
        <v>40</v>
      </c>
      <c r="C336" s="47" t="n">
        <v>73</v>
      </c>
      <c r="D336" s="47" t="n">
        <v>93.05</v>
      </c>
      <c r="E336" s="46" t="str">
        <f>IF(C336&lt;=72.0,"Y","N")</f>
        <v>N</v>
      </c>
      <c r="F336" s="46" t="str">
        <f>IF(E336="Y",D336,"")</f>
        <v/>
      </c>
    </row>
    <row r="337">
      <c r="A337" s="46" t="inlineStr">
        <is>
          <t>W07</t>
        </is>
      </c>
      <c r="B337" s="46" t="n">
        <v>41</v>
      </c>
      <c r="C337" s="47" t="n">
        <v>73</v>
      </c>
      <c r="D337" s="47" t="n">
        <v>93.27</v>
      </c>
      <c r="E337" s="46" t="str">
        <f>IF(C337&lt;=72.0,"Y","N")</f>
        <v>N</v>
      </c>
      <c r="F337" s="46" t="str">
        <f>IF(E337="Y",D337,"")</f>
        <v/>
      </c>
    </row>
    <row r="338">
      <c r="A338" s="46" t="inlineStr">
        <is>
          <t>W07</t>
        </is>
      </c>
      <c r="B338" s="46" t="n">
        <v>42</v>
      </c>
      <c r="C338" s="47" t="n">
        <v>73</v>
      </c>
      <c r="D338" s="47" t="n">
        <v>92.34</v>
      </c>
      <c r="E338" s="46" t="str">
        <f>IF(C338&lt;=72.0,"Y","N")</f>
        <v>N</v>
      </c>
      <c r="F338" s="46" t="str">
        <f>IF(E338="Y",D338,"")</f>
        <v/>
      </c>
    </row>
    <row r="339">
      <c r="A339" s="46" t="inlineStr">
        <is>
          <t>W07</t>
        </is>
      </c>
      <c r="B339" s="46" t="n">
        <v>43</v>
      </c>
      <c r="C339" s="47" t="n">
        <v>73</v>
      </c>
      <c r="D339" s="47" t="n">
        <v>92.56</v>
      </c>
      <c r="E339" s="46" t="str">
        <f>IF(C339&lt;=72.0,"Y","N")</f>
        <v>N</v>
      </c>
      <c r="F339" s="46" t="str">
        <f>IF(E339="Y",D339,"")</f>
        <v/>
      </c>
    </row>
    <row r="340">
      <c r="A340" s="46" t="inlineStr">
        <is>
          <t>W07</t>
        </is>
      </c>
      <c r="B340" s="46" t="n">
        <v>44</v>
      </c>
      <c r="C340" s="47" t="n">
        <v>73</v>
      </c>
      <c r="D340" s="47" t="n">
        <v>92.56</v>
      </c>
      <c r="E340" s="46" t="str">
        <f>IF(C340&lt;=72.0,"Y","N")</f>
        <v>N</v>
      </c>
      <c r="F340" s="46" t="str">
        <f>IF(E340="Y",D340,"")</f>
        <v/>
      </c>
    </row>
    <row r="341">
      <c r="A341" s="46" t="inlineStr">
        <is>
          <t>W07</t>
        </is>
      </c>
      <c r="B341" s="46" t="n">
        <v>45</v>
      </c>
      <c r="C341" s="47" t="n">
        <v>73</v>
      </c>
      <c r="D341" s="47" t="n">
        <v>93.71</v>
      </c>
      <c r="E341" s="46" t="str">
        <f>IF(C341&lt;=72.0,"Y","N")</f>
        <v>N</v>
      </c>
      <c r="F341" s="46" t="str">
        <f>IF(E341="Y",D341,"")</f>
        <v/>
      </c>
    </row>
    <row r="342">
      <c r="A342" s="46" t="inlineStr">
        <is>
          <t>W07</t>
        </is>
      </c>
      <c r="B342" s="46" t="n">
        <v>46</v>
      </c>
      <c r="C342" s="47" t="n">
        <v>73</v>
      </c>
      <c r="D342" s="47" t="n">
        <v>92.35</v>
      </c>
      <c r="E342" s="46" t="str">
        <f>IF(C342&lt;=72.0,"Y","N")</f>
        <v>N</v>
      </c>
      <c r="F342" s="46" t="str">
        <f>IF(E342="Y",D342,"")</f>
        <v/>
      </c>
    </row>
    <row r="343">
      <c r="A343" s="46" t="inlineStr">
        <is>
          <t>W07</t>
        </is>
      </c>
      <c r="B343" s="46" t="n">
        <v>47</v>
      </c>
      <c r="C343" s="47" t="n">
        <v>73</v>
      </c>
      <c r="D343" s="47" t="n">
        <v>93.36</v>
      </c>
      <c r="E343" s="46" t="str">
        <f>IF(C343&lt;=72.0,"Y","N")</f>
        <v>N</v>
      </c>
      <c r="F343" s="46" t="str">
        <f>IF(E343="Y",D343,"")</f>
        <v/>
      </c>
    </row>
    <row r="344">
      <c r="A344" s="46" t="inlineStr">
        <is>
          <t>W07</t>
        </is>
      </c>
      <c r="B344" s="46" t="n">
        <v>48</v>
      </c>
      <c r="C344" s="47" t="n">
        <v>73</v>
      </c>
      <c r="D344" s="47" t="n">
        <v>93.38</v>
      </c>
      <c r="E344" s="46" t="str">
        <f>IF(C344&lt;=72.0,"Y","N")</f>
        <v>N</v>
      </c>
      <c r="F344" s="46" t="str">
        <f>IF(E344="Y",D344,"")</f>
        <v/>
      </c>
    </row>
    <row r="345">
      <c r="A345" s="46" t="inlineStr">
        <is>
          <t>W07</t>
        </is>
      </c>
      <c r="B345" s="46" t="n">
        <v>49</v>
      </c>
      <c r="C345" s="47" t="n">
        <v>73</v>
      </c>
      <c r="D345" s="47" t="n">
        <v>93.37</v>
      </c>
      <c r="E345" s="46" t="str">
        <f>IF(C345&lt;=72.0,"Y","N")</f>
        <v>N</v>
      </c>
      <c r="F345" s="46" t="str">
        <f>IF(E345="Y",D345,"")</f>
        <v/>
      </c>
    </row>
    <row r="346">
      <c r="A346" s="46" t="inlineStr">
        <is>
          <t>W08</t>
        </is>
      </c>
      <c r="B346" s="46" t="n">
        <v>1</v>
      </c>
      <c r="C346" s="47" t="n">
        <v>0</v>
      </c>
      <c r="D346" s="47" t="n">
        <v>81.98</v>
      </c>
      <c r="E346" s="46" t="str">
        <f>IF(C346&lt;=72.0,"Y","N")</f>
        <v>Y</v>
      </c>
      <c r="F346" s="46">
        <f>IF(E346="Y",D346,"")</f>
        <v>81.98</v>
      </c>
    </row>
    <row r="347">
      <c r="A347" s="46" t="inlineStr">
        <is>
          <t>W08</t>
        </is>
      </c>
      <c r="B347" s="46" t="n">
        <v>2</v>
      </c>
      <c r="C347" s="47" t="n">
        <v>22</v>
      </c>
      <c r="D347" s="47" t="n">
        <v>82.93</v>
      </c>
      <c r="E347" s="46" t="str">
        <f>IF(C347&lt;=72.0,"Y","N")</f>
        <v>Y</v>
      </c>
      <c r="F347" s="46">
        <f>IF(E347="Y",D347,"")</f>
        <v>82.93</v>
      </c>
    </row>
    <row r="348">
      <c r="A348" s="46" t="inlineStr">
        <is>
          <t>W08</t>
        </is>
      </c>
      <c r="B348" s="46" t="n">
        <v>3</v>
      </c>
      <c r="C348" s="47" t="n">
        <v>22</v>
      </c>
      <c r="D348" s="47" t="n">
        <v>83.99</v>
      </c>
      <c r="E348" s="46" t="str">
        <f>IF(C348&lt;=72.0,"Y","N")</f>
        <v>Y</v>
      </c>
      <c r="F348" s="46">
        <f>IF(E348="Y",D348,"")</f>
        <v>83.99</v>
      </c>
    </row>
    <row r="349">
      <c r="A349" s="46" t="inlineStr">
        <is>
          <t>W08</t>
        </is>
      </c>
      <c r="B349" s="46" t="n">
        <v>4</v>
      </c>
      <c r="C349" s="47" t="n">
        <v>22</v>
      </c>
      <c r="D349" s="47" t="n">
        <v>83.24</v>
      </c>
      <c r="E349" s="46" t="str">
        <f>IF(C349&lt;=72.0,"Y","N")</f>
        <v>Y</v>
      </c>
      <c r="F349" s="46">
        <f>IF(E349="Y",D349,"")</f>
        <v>83.24</v>
      </c>
    </row>
    <row r="350">
      <c r="A350" s="46" t="inlineStr">
        <is>
          <t>W08</t>
        </is>
      </c>
      <c r="B350" s="46" t="n">
        <v>5</v>
      </c>
      <c r="C350" s="47" t="n">
        <v>22</v>
      </c>
      <c r="D350" s="47" t="n">
        <v>82.51</v>
      </c>
      <c r="E350" s="46" t="str">
        <f>IF(C350&lt;=72.0,"Y","N")</f>
        <v>Y</v>
      </c>
      <c r="F350" s="46">
        <f>IF(E350="Y",D350,"")</f>
        <v>82.51</v>
      </c>
    </row>
    <row r="351">
      <c r="A351" s="46" t="inlineStr">
        <is>
          <t>W08</t>
        </is>
      </c>
      <c r="B351" s="46" t="n">
        <v>6</v>
      </c>
      <c r="C351" s="47" t="n">
        <v>22</v>
      </c>
      <c r="D351" s="47" t="n">
        <v>83.59</v>
      </c>
      <c r="E351" s="46" t="str">
        <f>IF(C351&lt;=72.0,"Y","N")</f>
        <v>Y</v>
      </c>
      <c r="F351" s="46">
        <f>IF(E351="Y",D351,"")</f>
        <v>83.59</v>
      </c>
    </row>
    <row r="352">
      <c r="A352" s="46" t="inlineStr">
        <is>
          <t>W08</t>
        </is>
      </c>
      <c r="B352" s="46" t="n">
        <v>7</v>
      </c>
      <c r="C352" s="47" t="n">
        <v>22</v>
      </c>
      <c r="D352" s="47" t="n">
        <v>83.42</v>
      </c>
      <c r="E352" s="46" t="str">
        <f>IF(C352&lt;=72.0,"Y","N")</f>
        <v>Y</v>
      </c>
      <c r="F352" s="46">
        <f>IF(E352="Y",D352,"")</f>
        <v>83.42</v>
      </c>
    </row>
    <row r="353">
      <c r="A353" s="46" t="inlineStr">
        <is>
          <t>W08</t>
        </is>
      </c>
      <c r="B353" s="46" t="n">
        <v>8</v>
      </c>
      <c r="C353" s="47" t="n">
        <v>22</v>
      </c>
      <c r="D353" s="47" t="n">
        <v>82.91</v>
      </c>
      <c r="E353" s="46" t="str">
        <f>IF(C353&lt;=72.0,"Y","N")</f>
        <v>Y</v>
      </c>
      <c r="F353" s="46">
        <f>IF(E353="Y",D353,"")</f>
        <v>82.91</v>
      </c>
    </row>
    <row r="354">
      <c r="A354" s="46" t="inlineStr">
        <is>
          <t>W08</t>
        </is>
      </c>
      <c r="B354" s="46" t="n">
        <v>9</v>
      </c>
      <c r="C354" s="47" t="n">
        <v>22</v>
      </c>
      <c r="D354" s="47" t="n">
        <v>83.73</v>
      </c>
      <c r="E354" s="46" t="str">
        <f>IF(C354&lt;=72.0,"Y","N")</f>
        <v>Y</v>
      </c>
      <c r="F354" s="46">
        <f>IF(E354="Y",D354,"")</f>
        <v>83.73</v>
      </c>
    </row>
    <row r="355">
      <c r="A355" s="46" t="inlineStr">
        <is>
          <t>W08</t>
        </is>
      </c>
      <c r="B355" s="46" t="n">
        <v>10</v>
      </c>
      <c r="C355" s="47" t="n">
        <v>40</v>
      </c>
      <c r="D355" s="47" t="n">
        <v>84.65</v>
      </c>
      <c r="E355" s="46" t="str">
        <f>IF(C355&lt;=72.0,"Y","N")</f>
        <v>Y</v>
      </c>
      <c r="F355" s="46">
        <f>IF(E355="Y",D355,"")</f>
        <v>84.65</v>
      </c>
    </row>
    <row r="356">
      <c r="A356" s="46" t="inlineStr">
        <is>
          <t>W08</t>
        </is>
      </c>
      <c r="B356" s="46" t="n">
        <v>11</v>
      </c>
      <c r="C356" s="47" t="n">
        <v>40</v>
      </c>
      <c r="D356" s="47" t="n">
        <v>84.57</v>
      </c>
      <c r="E356" s="46" t="str">
        <f>IF(C356&lt;=72.0,"Y","N")</f>
        <v>Y</v>
      </c>
      <c r="F356" s="46">
        <f>IF(E356="Y",D356,"")</f>
        <v>84.57</v>
      </c>
    </row>
    <row r="357">
      <c r="A357" s="46" t="inlineStr">
        <is>
          <t>W08</t>
        </is>
      </c>
      <c r="B357" s="46" t="n">
        <v>12</v>
      </c>
      <c r="C357" s="47" t="n">
        <v>40</v>
      </c>
      <c r="D357" s="47" t="n">
        <v>85.07</v>
      </c>
      <c r="E357" s="46" t="str">
        <f>IF(C357&lt;=72.0,"Y","N")</f>
        <v>Y</v>
      </c>
      <c r="F357" s="46">
        <f>IF(E357="Y",D357,"")</f>
        <v>85.07</v>
      </c>
    </row>
    <row r="358">
      <c r="A358" s="46" t="inlineStr">
        <is>
          <t>W08</t>
        </is>
      </c>
      <c r="B358" s="46" t="n">
        <v>13</v>
      </c>
      <c r="C358" s="47" t="n">
        <v>40</v>
      </c>
      <c r="D358" s="47" t="n">
        <v>85.05</v>
      </c>
      <c r="E358" s="46" t="str">
        <f>IF(C358&lt;=72.0,"Y","N")</f>
        <v>Y</v>
      </c>
      <c r="F358" s="46">
        <f>IF(E358="Y",D358,"")</f>
        <v>85.05</v>
      </c>
    </row>
    <row r="359">
      <c r="A359" s="46" t="inlineStr">
        <is>
          <t>W08</t>
        </is>
      </c>
      <c r="B359" s="46" t="n">
        <v>14</v>
      </c>
      <c r="C359" s="47" t="n">
        <v>40</v>
      </c>
      <c r="D359" s="47" t="n">
        <v>85.23</v>
      </c>
      <c r="E359" s="46" t="str">
        <f>IF(C359&lt;=72.0,"Y","N")</f>
        <v>Y</v>
      </c>
      <c r="F359" s="46">
        <f>IF(E359="Y",D359,"")</f>
        <v>85.23</v>
      </c>
    </row>
    <row r="360">
      <c r="A360" s="46" t="inlineStr">
        <is>
          <t>W08</t>
        </is>
      </c>
      <c r="B360" s="46" t="n">
        <v>15</v>
      </c>
      <c r="C360" s="47" t="n">
        <v>40</v>
      </c>
      <c r="D360" s="47" t="n">
        <v>84.54</v>
      </c>
      <c r="E360" s="46" t="str">
        <f>IF(C360&lt;=72.0,"Y","N")</f>
        <v>Y</v>
      </c>
      <c r="F360" s="46">
        <f>IF(E360="Y",D360,"")</f>
        <v>84.54</v>
      </c>
    </row>
    <row r="361">
      <c r="A361" s="46" t="inlineStr">
        <is>
          <t>W08</t>
        </is>
      </c>
      <c r="B361" s="46" t="n">
        <v>16</v>
      </c>
      <c r="C361" s="47" t="n">
        <v>40</v>
      </c>
      <c r="D361" s="47" t="n">
        <v>85.02</v>
      </c>
      <c r="E361" s="46" t="str">
        <f>IF(C361&lt;=72.0,"Y","N")</f>
        <v>Y</v>
      </c>
      <c r="F361" s="46">
        <f>IF(E361="Y",D361,"")</f>
        <v>85.02</v>
      </c>
    </row>
    <row r="362">
      <c r="A362" s="46" t="inlineStr">
        <is>
          <t>W08</t>
        </is>
      </c>
      <c r="B362" s="46" t="n">
        <v>17</v>
      </c>
      <c r="C362" s="47" t="n">
        <v>40</v>
      </c>
      <c r="D362" s="47" t="n">
        <v>85.46</v>
      </c>
      <c r="E362" s="46" t="str">
        <f>IF(C362&lt;=72.0,"Y","N")</f>
        <v>Y</v>
      </c>
      <c r="F362" s="46">
        <f>IF(E362="Y",D362,"")</f>
        <v>85.46</v>
      </c>
    </row>
    <row r="363">
      <c r="A363" s="46" t="inlineStr">
        <is>
          <t>W08</t>
        </is>
      </c>
      <c r="B363" s="46" t="n">
        <v>18</v>
      </c>
      <c r="C363" s="47" t="n">
        <v>40</v>
      </c>
      <c r="D363" s="47" t="n">
        <v>84.49</v>
      </c>
      <c r="E363" s="46" t="str">
        <f>IF(C363&lt;=72.0,"Y","N")</f>
        <v>Y</v>
      </c>
      <c r="F363" s="46">
        <f>IF(E363="Y",D363,"")</f>
        <v>84.49</v>
      </c>
    </row>
    <row r="364">
      <c r="A364" s="46" t="inlineStr">
        <is>
          <t>W08</t>
        </is>
      </c>
      <c r="B364" s="46" t="n">
        <v>19</v>
      </c>
      <c r="C364" s="47" t="n">
        <v>40</v>
      </c>
      <c r="D364" s="47" t="n">
        <v>85.17</v>
      </c>
      <c r="E364" s="46" t="str">
        <f>IF(C364&lt;=72.0,"Y","N")</f>
        <v>Y</v>
      </c>
      <c r="F364" s="46">
        <f>IF(E364="Y",D364,"")</f>
        <v>85.17</v>
      </c>
    </row>
    <row r="365">
      <c r="A365" s="46" t="inlineStr">
        <is>
          <t>W08</t>
        </is>
      </c>
      <c r="B365" s="46" t="n">
        <v>20</v>
      </c>
      <c r="C365" s="47" t="n">
        <v>40</v>
      </c>
      <c r="D365" s="47" t="n">
        <v>84.62</v>
      </c>
      <c r="E365" s="46" t="str">
        <f>IF(C365&lt;=72.0,"Y","N")</f>
        <v>Y</v>
      </c>
      <c r="F365" s="46">
        <f>IF(E365="Y",D365,"")</f>
        <v>84.62</v>
      </c>
    </row>
    <row r="366">
      <c r="A366" s="46" t="inlineStr">
        <is>
          <t>W08</t>
        </is>
      </c>
      <c r="B366" s="46" t="n">
        <v>21</v>
      </c>
      <c r="C366" s="47" t="n">
        <v>40</v>
      </c>
      <c r="D366" s="47" t="n">
        <v>85.63</v>
      </c>
      <c r="E366" s="46" t="str">
        <f>IF(C366&lt;=72.0,"Y","N")</f>
        <v>Y</v>
      </c>
      <c r="F366" s="46">
        <f>IF(E366="Y",D366,"")</f>
        <v>85.63</v>
      </c>
    </row>
    <row r="367">
      <c r="A367" s="46" t="inlineStr">
        <is>
          <t>W08</t>
        </is>
      </c>
      <c r="B367" s="46" t="n">
        <v>22</v>
      </c>
      <c r="C367" s="47" t="n">
        <v>58</v>
      </c>
      <c r="D367" s="47" t="n">
        <v>89.16</v>
      </c>
      <c r="E367" s="46" t="str">
        <f>IF(C367&lt;=72.0,"Y","N")</f>
        <v>Y</v>
      </c>
      <c r="F367" s="46">
        <f>IF(E367="Y",D367,"")</f>
        <v>89.16</v>
      </c>
    </row>
    <row r="368">
      <c r="A368" s="46" t="inlineStr">
        <is>
          <t>W08</t>
        </is>
      </c>
      <c r="B368" s="46" t="n">
        <v>23</v>
      </c>
      <c r="C368" s="47" t="n">
        <v>58</v>
      </c>
      <c r="D368" s="47" t="n">
        <v>88.41</v>
      </c>
      <c r="E368" s="46" t="str">
        <f>IF(C368&lt;=72.0,"Y","N")</f>
        <v>Y</v>
      </c>
      <c r="F368" s="46">
        <f>IF(E368="Y",D368,"")</f>
        <v>88.41</v>
      </c>
    </row>
    <row r="369">
      <c r="A369" s="46" t="inlineStr">
        <is>
          <t>W08</t>
        </is>
      </c>
      <c r="B369" s="46" t="n">
        <v>24</v>
      </c>
      <c r="C369" s="47" t="n">
        <v>58</v>
      </c>
      <c r="D369" s="47" t="n">
        <v>88.34</v>
      </c>
      <c r="E369" s="46" t="str">
        <f>IF(C369&lt;=72.0,"Y","N")</f>
        <v>Y</v>
      </c>
      <c r="F369" s="46">
        <f>IF(E369="Y",D369,"")</f>
        <v>88.34</v>
      </c>
    </row>
    <row r="370">
      <c r="A370" s="46" t="inlineStr">
        <is>
          <t>W08</t>
        </is>
      </c>
      <c r="B370" s="46" t="n">
        <v>25</v>
      </c>
      <c r="C370" s="47" t="n">
        <v>58</v>
      </c>
      <c r="D370" s="47" t="n">
        <v>88.6</v>
      </c>
      <c r="E370" s="46" t="str">
        <f>IF(C370&lt;=72.0,"Y","N")</f>
        <v>Y</v>
      </c>
      <c r="F370" s="46">
        <f>IF(E370="Y",D370,"")</f>
        <v>88.6</v>
      </c>
    </row>
    <row r="371">
      <c r="A371" s="46" t="inlineStr">
        <is>
          <t>W08</t>
        </is>
      </c>
      <c r="B371" s="46" t="n">
        <v>26</v>
      </c>
      <c r="C371" s="47" t="n">
        <v>58</v>
      </c>
      <c r="D371" s="47" t="n">
        <v>88.65</v>
      </c>
      <c r="E371" s="46" t="str">
        <f>IF(C371&lt;=72.0,"Y","N")</f>
        <v>Y</v>
      </c>
      <c r="F371" s="46">
        <f>IF(E371="Y",D371,"")</f>
        <v>88.65</v>
      </c>
    </row>
    <row r="372">
      <c r="A372" s="46" t="inlineStr">
        <is>
          <t>W08</t>
        </is>
      </c>
      <c r="B372" s="46" t="n">
        <v>27</v>
      </c>
      <c r="C372" s="47" t="n">
        <v>58</v>
      </c>
      <c r="D372" s="47" t="n">
        <v>88.54</v>
      </c>
      <c r="E372" s="46" t="str">
        <f>IF(C372&lt;=72.0,"Y","N")</f>
        <v>Y</v>
      </c>
      <c r="F372" s="46">
        <f>IF(E372="Y",D372,"")</f>
        <v>88.54</v>
      </c>
    </row>
    <row r="373">
      <c r="A373" s="46" t="inlineStr">
        <is>
          <t>W08</t>
        </is>
      </c>
      <c r="B373" s="46" t="n">
        <v>28</v>
      </c>
      <c r="C373" s="47" t="n">
        <v>58</v>
      </c>
      <c r="D373" s="47" t="n">
        <v>87.75</v>
      </c>
      <c r="E373" s="46" t="str">
        <f>IF(C373&lt;=72.0,"Y","N")</f>
        <v>Y</v>
      </c>
      <c r="F373" s="46">
        <f>IF(E373="Y",D373,"")</f>
        <v>87.75</v>
      </c>
    </row>
    <row r="374">
      <c r="A374" s="46" t="inlineStr">
        <is>
          <t>W08</t>
        </is>
      </c>
      <c r="B374" s="46" t="n">
        <v>29</v>
      </c>
      <c r="C374" s="47" t="n">
        <v>58</v>
      </c>
      <c r="D374" s="47" t="n">
        <v>89.14</v>
      </c>
      <c r="E374" s="46" t="str">
        <f>IF(C374&lt;=72.0,"Y","N")</f>
        <v>Y</v>
      </c>
      <c r="F374" s="46">
        <f>IF(E374="Y",D374,"")</f>
        <v>89.14</v>
      </c>
    </row>
    <row r="375">
      <c r="A375" s="46" t="inlineStr">
        <is>
          <t>W08</t>
        </is>
      </c>
      <c r="B375" s="46" t="n">
        <v>30</v>
      </c>
      <c r="C375" s="47" t="n">
        <v>58</v>
      </c>
      <c r="D375" s="47" t="n">
        <v>88.82</v>
      </c>
      <c r="E375" s="46" t="str">
        <f>IF(C375&lt;=72.0,"Y","N")</f>
        <v>Y</v>
      </c>
      <c r="F375" s="46">
        <f>IF(E375="Y",D375,"")</f>
        <v>88.82</v>
      </c>
    </row>
    <row r="376">
      <c r="A376" s="46" t="inlineStr">
        <is>
          <t>W08</t>
        </is>
      </c>
      <c r="B376" s="46" t="n">
        <v>31</v>
      </c>
      <c r="C376" s="47" t="n">
        <v>58</v>
      </c>
      <c r="D376" s="47" t="n">
        <v>88.99</v>
      </c>
      <c r="E376" s="46" t="str">
        <f>IF(C376&lt;=72.0,"Y","N")</f>
        <v>Y</v>
      </c>
      <c r="F376" s="46">
        <f>IF(E376="Y",D376,"")</f>
        <v>88.99</v>
      </c>
    </row>
    <row r="377">
      <c r="A377" s="46" t="inlineStr">
        <is>
          <t>W08</t>
        </is>
      </c>
      <c r="B377" s="46" t="n">
        <v>32</v>
      </c>
      <c r="C377" s="47" t="n">
        <v>58</v>
      </c>
      <c r="D377" s="47" t="n">
        <v>87.77</v>
      </c>
      <c r="E377" s="46" t="str">
        <f>IF(C377&lt;=72.0,"Y","N")</f>
        <v>Y</v>
      </c>
      <c r="F377" s="46">
        <f>IF(E377="Y",D377,"")</f>
        <v>87.77</v>
      </c>
    </row>
    <row r="378">
      <c r="A378" s="46" t="inlineStr">
        <is>
          <t>W08</t>
        </is>
      </c>
      <c r="B378" s="46" t="n">
        <v>33</v>
      </c>
      <c r="C378" s="47" t="n">
        <v>58</v>
      </c>
      <c r="D378" s="47" t="n">
        <v>88.07</v>
      </c>
      <c r="E378" s="46" t="str">
        <f>IF(C378&lt;=72.0,"Y","N")</f>
        <v>Y</v>
      </c>
      <c r="F378" s="46">
        <f>IF(E378="Y",D378,"")</f>
        <v>88.07</v>
      </c>
    </row>
    <row r="379">
      <c r="A379" s="46" t="inlineStr">
        <is>
          <t>W08</t>
        </is>
      </c>
      <c r="B379" s="46" t="n">
        <v>34</v>
      </c>
      <c r="C379" s="47" t="n">
        <v>73</v>
      </c>
      <c r="D379" s="47" t="n">
        <v>91.74</v>
      </c>
      <c r="E379" s="46" t="str">
        <f>IF(C379&lt;=72.0,"Y","N")</f>
        <v>N</v>
      </c>
      <c r="F379" s="46" t="str">
        <f>IF(E379="Y",D379,"")</f>
        <v/>
      </c>
    </row>
    <row r="380">
      <c r="A380" s="46" t="inlineStr">
        <is>
          <t>W08</t>
        </is>
      </c>
      <c r="B380" s="46" t="n">
        <v>35</v>
      </c>
      <c r="C380" s="47" t="n">
        <v>73</v>
      </c>
      <c r="D380" s="47" t="n">
        <v>91.85</v>
      </c>
      <c r="E380" s="46" t="str">
        <f>IF(C380&lt;=72.0,"Y","N")</f>
        <v>N</v>
      </c>
      <c r="F380" s="46" t="str">
        <f>IF(E380="Y",D380,"")</f>
        <v/>
      </c>
    </row>
    <row r="381">
      <c r="A381" s="46" t="inlineStr">
        <is>
          <t>W08</t>
        </is>
      </c>
      <c r="B381" s="46" t="n">
        <v>36</v>
      </c>
      <c r="C381" s="47" t="n">
        <v>73</v>
      </c>
      <c r="D381" s="47" t="n">
        <v>91.67</v>
      </c>
      <c r="E381" s="46" t="str">
        <f>IF(C381&lt;=72.0,"Y","N")</f>
        <v>N</v>
      </c>
      <c r="F381" s="46" t="str">
        <f>IF(E381="Y",D381,"")</f>
        <v/>
      </c>
    </row>
    <row r="382">
      <c r="A382" s="46" t="inlineStr">
        <is>
          <t>W08</t>
        </is>
      </c>
      <c r="B382" s="46" t="n">
        <v>37</v>
      </c>
      <c r="C382" s="47" t="n">
        <v>73</v>
      </c>
      <c r="D382" s="47" t="n">
        <v>91.52</v>
      </c>
      <c r="E382" s="46" t="str">
        <f>IF(C382&lt;=72.0,"Y","N")</f>
        <v>N</v>
      </c>
      <c r="F382" s="46" t="str">
        <f>IF(E382="Y",D382,"")</f>
        <v/>
      </c>
    </row>
    <row r="383">
      <c r="A383" s="46" t="inlineStr">
        <is>
          <t>W08</t>
        </is>
      </c>
      <c r="B383" s="46" t="n">
        <v>38</v>
      </c>
      <c r="C383" s="47" t="n">
        <v>73</v>
      </c>
      <c r="D383" s="47" t="n">
        <v>91.49</v>
      </c>
      <c r="E383" s="46" t="str">
        <f>IF(C383&lt;=72.0,"Y","N")</f>
        <v>N</v>
      </c>
      <c r="F383" s="46" t="str">
        <f>IF(E383="Y",D383,"")</f>
        <v/>
      </c>
    </row>
    <row r="384">
      <c r="A384" s="46" t="inlineStr">
        <is>
          <t>W08</t>
        </is>
      </c>
      <c r="B384" s="46" t="n">
        <v>39</v>
      </c>
      <c r="C384" s="47" t="n">
        <v>73</v>
      </c>
      <c r="D384" s="47" t="n">
        <v>92.57</v>
      </c>
      <c r="E384" s="46" t="str">
        <f>IF(C384&lt;=72.0,"Y","N")</f>
        <v>N</v>
      </c>
      <c r="F384" s="46" t="str">
        <f>IF(E384="Y",D384,"")</f>
        <v/>
      </c>
    </row>
    <row r="385">
      <c r="A385" s="46" t="inlineStr">
        <is>
          <t>W08</t>
        </is>
      </c>
      <c r="B385" s="46" t="n">
        <v>40</v>
      </c>
      <c r="C385" s="47" t="n">
        <v>73</v>
      </c>
      <c r="D385" s="47" t="n">
        <v>92.06</v>
      </c>
      <c r="E385" s="46" t="str">
        <f>IF(C385&lt;=72.0,"Y","N")</f>
        <v>N</v>
      </c>
      <c r="F385" s="46" t="str">
        <f>IF(E385="Y",D385,"")</f>
        <v/>
      </c>
    </row>
    <row r="386">
      <c r="A386" s="46" t="inlineStr">
        <is>
          <t>W08</t>
        </is>
      </c>
      <c r="B386" s="46" t="n">
        <v>41</v>
      </c>
      <c r="C386" s="47" t="n">
        <v>73</v>
      </c>
      <c r="D386" s="47" t="n">
        <v>92.42</v>
      </c>
      <c r="E386" s="46" t="str">
        <f>IF(C386&lt;=72.0,"Y","N")</f>
        <v>N</v>
      </c>
      <c r="F386" s="46" t="str">
        <f>IF(E386="Y",D386,"")</f>
        <v/>
      </c>
    </row>
    <row r="387">
      <c r="A387" s="46" t="inlineStr">
        <is>
          <t>W08</t>
        </is>
      </c>
      <c r="B387" s="46" t="n">
        <v>42</v>
      </c>
      <c r="C387" s="47" t="n">
        <v>73</v>
      </c>
      <c r="D387" s="47" t="n">
        <v>92.55</v>
      </c>
      <c r="E387" s="46" t="str">
        <f>IF(C387&lt;=72.0,"Y","N")</f>
        <v>N</v>
      </c>
      <c r="F387" s="46" t="str">
        <f>IF(E387="Y",D387,"")</f>
        <v/>
      </c>
    </row>
    <row r="388">
      <c r="A388" s="46" t="inlineStr">
        <is>
          <t>W08</t>
        </is>
      </c>
      <c r="B388" s="46" t="n">
        <v>43</v>
      </c>
      <c r="C388" s="47" t="n">
        <v>73</v>
      </c>
      <c r="D388" s="47" t="n">
        <v>92.27</v>
      </c>
      <c r="E388" s="46" t="str">
        <f>IF(C388&lt;=72.0,"Y","N")</f>
        <v>N</v>
      </c>
      <c r="F388" s="46" t="str">
        <f>IF(E388="Y",D388,"")</f>
        <v/>
      </c>
    </row>
    <row r="389">
      <c r="A389" s="46" t="inlineStr">
        <is>
          <t>W08</t>
        </is>
      </c>
      <c r="B389" s="46" t="n">
        <v>44</v>
      </c>
      <c r="C389" s="47" t="n">
        <v>73</v>
      </c>
      <c r="D389" s="47" t="n">
        <v>91.87</v>
      </c>
      <c r="E389" s="46" t="str">
        <f>IF(C389&lt;=72.0,"Y","N")</f>
        <v>N</v>
      </c>
      <c r="F389" s="46" t="str">
        <f>IF(E389="Y",D389,"")</f>
        <v/>
      </c>
    </row>
    <row r="390">
      <c r="A390" s="46" t="inlineStr">
        <is>
          <t>W08</t>
        </is>
      </c>
      <c r="B390" s="46" t="n">
        <v>45</v>
      </c>
      <c r="C390" s="47" t="n">
        <v>73</v>
      </c>
      <c r="D390" s="47" t="n">
        <v>91.58</v>
      </c>
      <c r="E390" s="46" t="str">
        <f>IF(C390&lt;=72.0,"Y","N")</f>
        <v>N</v>
      </c>
      <c r="F390" s="46" t="str">
        <f>IF(E390="Y",D390,"")</f>
        <v/>
      </c>
    </row>
    <row r="391">
      <c r="A391" s="46" t="inlineStr">
        <is>
          <t>W08</t>
        </is>
      </c>
      <c r="B391" s="46" t="n">
        <v>46</v>
      </c>
      <c r="C391" s="47" t="n">
        <v>73</v>
      </c>
      <c r="D391" s="47" t="n">
        <v>92.33</v>
      </c>
      <c r="E391" s="46" t="str">
        <f>IF(C391&lt;=72.0,"Y","N")</f>
        <v>N</v>
      </c>
      <c r="F391" s="46" t="str">
        <f>IF(E391="Y",D391,"")</f>
        <v/>
      </c>
    </row>
    <row r="392">
      <c r="A392" s="46" t="inlineStr">
        <is>
          <t>W08</t>
        </is>
      </c>
      <c r="B392" s="46" t="n">
        <v>47</v>
      </c>
      <c r="C392" s="47" t="n">
        <v>73</v>
      </c>
      <c r="D392" s="47" t="n">
        <v>91.09</v>
      </c>
      <c r="E392" s="46" t="str">
        <f>IF(C392&lt;=72.0,"Y","N")</f>
        <v>N</v>
      </c>
      <c r="F392" s="46" t="str">
        <f>IF(E392="Y",D392,"")</f>
        <v/>
      </c>
    </row>
    <row r="393">
      <c r="A393" s="46" t="inlineStr">
        <is>
          <t>W08</t>
        </is>
      </c>
      <c r="B393" s="46" t="n">
        <v>48</v>
      </c>
      <c r="C393" s="47" t="n">
        <v>73</v>
      </c>
      <c r="D393" s="47" t="n">
        <v>92.26</v>
      </c>
      <c r="E393" s="46" t="str">
        <f>IF(C393&lt;=72.0,"Y","N")</f>
        <v>N</v>
      </c>
      <c r="F393" s="46" t="str">
        <f>IF(E393="Y",D393,"")</f>
        <v/>
      </c>
    </row>
    <row r="394">
      <c r="A394" s="46" t="inlineStr">
        <is>
          <t>W08</t>
        </is>
      </c>
      <c r="B394" s="46" t="n">
        <v>49</v>
      </c>
      <c r="C394" s="47" t="n">
        <v>73</v>
      </c>
      <c r="D394" s="47" t="n">
        <v>92.26</v>
      </c>
      <c r="E394" s="46" t="str">
        <f>IF(C394&lt;=72.0,"Y","N")</f>
        <v>N</v>
      </c>
      <c r="F394" s="46" t="str">
        <f>IF(E394="Y",D394,"")</f>
        <v/>
      </c>
    </row>
    <row r="395">
      <c r="A395" s="46" t="inlineStr">
        <is>
          <t>W09</t>
        </is>
      </c>
      <c r="B395" s="46" t="n">
        <v>1</v>
      </c>
      <c r="C395" s="47" t="n">
        <v>0</v>
      </c>
      <c r="D395" s="47" t="n">
        <v>80.64</v>
      </c>
      <c r="E395" s="46" t="str">
        <f>IF(C395&lt;=72.0,"Y","N")</f>
        <v>Y</v>
      </c>
      <c r="F395" s="46">
        <f>IF(E395="Y",D395,"")</f>
        <v>80.64</v>
      </c>
    </row>
    <row r="396">
      <c r="A396" s="46" t="inlineStr">
        <is>
          <t>W09</t>
        </is>
      </c>
      <c r="B396" s="46" t="n">
        <v>2</v>
      </c>
      <c r="C396" s="47" t="n">
        <v>22</v>
      </c>
      <c r="D396" s="47" t="n">
        <v>82.86</v>
      </c>
      <c r="E396" s="46" t="str">
        <f>IF(C396&lt;=72.0,"Y","N")</f>
        <v>Y</v>
      </c>
      <c r="F396" s="46">
        <f>IF(E396="Y",D396,"")</f>
        <v>82.86</v>
      </c>
    </row>
    <row r="397">
      <c r="A397" s="46" t="inlineStr">
        <is>
          <t>W09</t>
        </is>
      </c>
      <c r="B397" s="46" t="n">
        <v>3</v>
      </c>
      <c r="C397" s="47" t="n">
        <v>22</v>
      </c>
      <c r="D397" s="47" t="n">
        <v>82.84</v>
      </c>
      <c r="E397" s="46" t="str">
        <f>IF(C397&lt;=72.0,"Y","N")</f>
        <v>Y</v>
      </c>
      <c r="F397" s="46">
        <f>IF(E397="Y",D397,"")</f>
        <v>82.84</v>
      </c>
    </row>
    <row r="398">
      <c r="A398" s="46" t="inlineStr">
        <is>
          <t>W09</t>
        </is>
      </c>
      <c r="B398" s="46" t="n">
        <v>4</v>
      </c>
      <c r="C398" s="47" t="n">
        <v>22</v>
      </c>
      <c r="D398" s="47" t="n">
        <v>81.97</v>
      </c>
      <c r="E398" s="46" t="str">
        <f>IF(C398&lt;=72.0,"Y","N")</f>
        <v>Y</v>
      </c>
      <c r="F398" s="46">
        <f>IF(E398="Y",D398,"")</f>
        <v>81.97</v>
      </c>
    </row>
    <row r="399">
      <c r="A399" s="46" t="inlineStr">
        <is>
          <t>W09</t>
        </is>
      </c>
      <c r="B399" s="46" t="n">
        <v>5</v>
      </c>
      <c r="C399" s="47" t="n">
        <v>22</v>
      </c>
      <c r="D399" s="47" t="n">
        <v>82.41</v>
      </c>
      <c r="E399" s="46" t="str">
        <f>IF(C399&lt;=72.0,"Y","N")</f>
        <v>Y</v>
      </c>
      <c r="F399" s="46">
        <f>IF(E399="Y",D399,"")</f>
        <v>82.41</v>
      </c>
    </row>
    <row r="400">
      <c r="A400" s="46" t="inlineStr">
        <is>
          <t>W09</t>
        </is>
      </c>
      <c r="B400" s="46" t="n">
        <v>6</v>
      </c>
      <c r="C400" s="47" t="n">
        <v>22</v>
      </c>
      <c r="D400" s="47" t="n">
        <v>82.49</v>
      </c>
      <c r="E400" s="46" t="str">
        <f>IF(C400&lt;=72.0,"Y","N")</f>
        <v>Y</v>
      </c>
      <c r="F400" s="46">
        <f>IF(E400="Y",D400,"")</f>
        <v>82.49</v>
      </c>
    </row>
    <row r="401">
      <c r="A401" s="46" t="inlineStr">
        <is>
          <t>W09</t>
        </is>
      </c>
      <c r="B401" s="46" t="n">
        <v>7</v>
      </c>
      <c r="C401" s="47" t="n">
        <v>22</v>
      </c>
      <c r="D401" s="47" t="n">
        <v>82.74</v>
      </c>
      <c r="E401" s="46" t="str">
        <f>IF(C401&lt;=72.0,"Y","N")</f>
        <v>Y</v>
      </c>
      <c r="F401" s="46">
        <f>IF(E401="Y",D401,"")</f>
        <v>82.74</v>
      </c>
    </row>
    <row r="402">
      <c r="A402" s="46" t="inlineStr">
        <is>
          <t>W09</t>
        </is>
      </c>
      <c r="B402" s="46" t="n">
        <v>8</v>
      </c>
      <c r="C402" s="47" t="n">
        <v>22</v>
      </c>
      <c r="D402" s="47" t="n">
        <v>81.64</v>
      </c>
      <c r="E402" s="46" t="str">
        <f>IF(C402&lt;=72.0,"Y","N")</f>
        <v>Y</v>
      </c>
      <c r="F402" s="46">
        <f>IF(E402="Y",D402,"")</f>
        <v>81.64</v>
      </c>
    </row>
    <row r="403">
      <c r="A403" s="46" t="inlineStr">
        <is>
          <t>W09</t>
        </is>
      </c>
      <c r="B403" s="46" t="n">
        <v>9</v>
      </c>
      <c r="C403" s="47" t="n">
        <v>22</v>
      </c>
      <c r="D403" s="47" t="n">
        <v>81.99</v>
      </c>
      <c r="E403" s="46" t="str">
        <f>IF(C403&lt;=72.0,"Y","N")</f>
        <v>Y</v>
      </c>
      <c r="F403" s="46">
        <f>IF(E403="Y",D403,"")</f>
        <v>81.99</v>
      </c>
    </row>
    <row r="404">
      <c r="A404" s="46" t="inlineStr">
        <is>
          <t>W09</t>
        </is>
      </c>
      <c r="B404" s="46" t="n">
        <v>10</v>
      </c>
      <c r="C404" s="47" t="n">
        <v>40</v>
      </c>
      <c r="D404" s="47" t="n">
        <v>83.72</v>
      </c>
      <c r="E404" s="46" t="str">
        <f>IF(C404&lt;=72.0,"Y","N")</f>
        <v>Y</v>
      </c>
      <c r="F404" s="46">
        <f>IF(E404="Y",D404,"")</f>
        <v>83.72</v>
      </c>
    </row>
    <row r="405">
      <c r="A405" s="46" t="inlineStr">
        <is>
          <t>W09</t>
        </is>
      </c>
      <c r="B405" s="46" t="n">
        <v>11</v>
      </c>
      <c r="C405" s="47" t="n">
        <v>40</v>
      </c>
      <c r="D405" s="47" t="n">
        <v>83.58</v>
      </c>
      <c r="E405" s="46" t="str">
        <f>IF(C405&lt;=72.0,"Y","N")</f>
        <v>Y</v>
      </c>
      <c r="F405" s="46">
        <f>IF(E405="Y",D405,"")</f>
        <v>83.58</v>
      </c>
    </row>
    <row r="406">
      <c r="A406" s="46" t="inlineStr">
        <is>
          <t>W09</t>
        </is>
      </c>
      <c r="B406" s="46" t="n">
        <v>12</v>
      </c>
      <c r="C406" s="47" t="n">
        <v>40</v>
      </c>
      <c r="D406" s="47" t="n">
        <v>84.1</v>
      </c>
      <c r="E406" s="46" t="str">
        <f>IF(C406&lt;=72.0,"Y","N")</f>
        <v>Y</v>
      </c>
      <c r="F406" s="46">
        <f>IF(E406="Y",D406,"")</f>
        <v>84.1</v>
      </c>
    </row>
    <row r="407">
      <c r="A407" s="46" t="inlineStr">
        <is>
          <t>W09</t>
        </is>
      </c>
      <c r="B407" s="46" t="n">
        <v>13</v>
      </c>
      <c r="C407" s="47" t="n">
        <v>40</v>
      </c>
      <c r="D407" s="47" t="n">
        <v>83.35</v>
      </c>
      <c r="E407" s="46" t="str">
        <f>IF(C407&lt;=72.0,"Y","N")</f>
        <v>Y</v>
      </c>
      <c r="F407" s="46">
        <f>IF(E407="Y",D407,"")</f>
        <v>83.35</v>
      </c>
    </row>
    <row r="408">
      <c r="A408" s="46" t="inlineStr">
        <is>
          <t>W09</t>
        </is>
      </c>
      <c r="B408" s="46" t="n">
        <v>14</v>
      </c>
      <c r="C408" s="47" t="n">
        <v>40</v>
      </c>
      <c r="D408" s="47" t="n">
        <v>83.84</v>
      </c>
      <c r="E408" s="46" t="str">
        <f>IF(C408&lt;=72.0,"Y","N")</f>
        <v>Y</v>
      </c>
      <c r="F408" s="46">
        <f>IF(E408="Y",D408,"")</f>
        <v>83.84</v>
      </c>
    </row>
    <row r="409">
      <c r="A409" s="46" t="inlineStr">
        <is>
          <t>W09</t>
        </is>
      </c>
      <c r="B409" s="46" t="n">
        <v>15</v>
      </c>
      <c r="C409" s="47" t="n">
        <v>40</v>
      </c>
      <c r="D409" s="47" t="n">
        <v>84.52</v>
      </c>
      <c r="E409" s="46" t="str">
        <f>IF(C409&lt;=72.0,"Y","N")</f>
        <v>Y</v>
      </c>
      <c r="F409" s="46">
        <f>IF(E409="Y",D409,"")</f>
        <v>84.52</v>
      </c>
    </row>
    <row r="410">
      <c r="A410" s="46" t="inlineStr">
        <is>
          <t>W09</t>
        </is>
      </c>
      <c r="B410" s="46" t="n">
        <v>16</v>
      </c>
      <c r="C410" s="47" t="n">
        <v>40</v>
      </c>
      <c r="D410" s="47" t="n">
        <v>84</v>
      </c>
      <c r="E410" s="46" t="str">
        <f>IF(C410&lt;=72.0,"Y","N")</f>
        <v>Y</v>
      </c>
      <c r="F410" s="46">
        <f>IF(E410="Y",D410,"")</f>
        <v>84</v>
      </c>
    </row>
    <row r="411">
      <c r="A411" s="46" t="inlineStr">
        <is>
          <t>W09</t>
        </is>
      </c>
      <c r="B411" s="46" t="n">
        <v>17</v>
      </c>
      <c r="C411" s="47" t="n">
        <v>40</v>
      </c>
      <c r="D411" s="47" t="n">
        <v>83.5</v>
      </c>
      <c r="E411" s="46" t="str">
        <f>IF(C411&lt;=72.0,"Y","N")</f>
        <v>Y</v>
      </c>
      <c r="F411" s="46">
        <f>IF(E411="Y",D411,"")</f>
        <v>83.5</v>
      </c>
    </row>
    <row r="412">
      <c r="A412" s="46" t="inlineStr">
        <is>
          <t>W09</t>
        </is>
      </c>
      <c r="B412" s="46" t="n">
        <v>18</v>
      </c>
      <c r="C412" s="47" t="n">
        <v>40</v>
      </c>
      <c r="D412" s="47" t="n">
        <v>84.15</v>
      </c>
      <c r="E412" s="46" t="str">
        <f>IF(C412&lt;=72.0,"Y","N")</f>
        <v>Y</v>
      </c>
      <c r="F412" s="46">
        <f>IF(E412="Y",D412,"")</f>
        <v>84.15</v>
      </c>
    </row>
    <row r="413">
      <c r="A413" s="46" t="inlineStr">
        <is>
          <t>W09</t>
        </is>
      </c>
      <c r="B413" s="46" t="n">
        <v>19</v>
      </c>
      <c r="C413" s="47" t="n">
        <v>40</v>
      </c>
      <c r="D413" s="47" t="n">
        <v>84.68</v>
      </c>
      <c r="E413" s="46" t="str">
        <f>IF(C413&lt;=72.0,"Y","N")</f>
        <v>Y</v>
      </c>
      <c r="F413" s="46">
        <f>IF(E413="Y",D413,"")</f>
        <v>84.68</v>
      </c>
    </row>
    <row r="414">
      <c r="A414" s="46" t="inlineStr">
        <is>
          <t>W09</t>
        </is>
      </c>
      <c r="B414" s="46" t="n">
        <v>20</v>
      </c>
      <c r="C414" s="47" t="n">
        <v>40</v>
      </c>
      <c r="D414" s="47" t="n">
        <v>84.27</v>
      </c>
      <c r="E414" s="46" t="str">
        <f>IF(C414&lt;=72.0,"Y","N")</f>
        <v>Y</v>
      </c>
      <c r="F414" s="46">
        <f>IF(E414="Y",D414,"")</f>
        <v>84.27</v>
      </c>
    </row>
    <row r="415">
      <c r="A415" s="46" t="inlineStr">
        <is>
          <t>W09</t>
        </is>
      </c>
      <c r="B415" s="46" t="n">
        <v>21</v>
      </c>
      <c r="C415" s="47" t="n">
        <v>40</v>
      </c>
      <c r="D415" s="47" t="n">
        <v>84.21</v>
      </c>
      <c r="E415" s="46" t="str">
        <f>IF(C415&lt;=72.0,"Y","N")</f>
        <v>Y</v>
      </c>
      <c r="F415" s="46">
        <f>IF(E415="Y",D415,"")</f>
        <v>84.21</v>
      </c>
    </row>
    <row r="416">
      <c r="A416" s="46" t="inlineStr">
        <is>
          <t>W09</t>
        </is>
      </c>
      <c r="B416" s="46" t="n">
        <v>22</v>
      </c>
      <c r="C416" s="47" t="n">
        <v>58</v>
      </c>
      <c r="D416" s="47" t="n">
        <v>87.71</v>
      </c>
      <c r="E416" s="46" t="str">
        <f>IF(C416&lt;=72.0,"Y","N")</f>
        <v>Y</v>
      </c>
      <c r="F416" s="46">
        <f>IF(E416="Y",D416,"")</f>
        <v>87.71</v>
      </c>
    </row>
    <row r="417">
      <c r="A417" s="46" t="inlineStr">
        <is>
          <t>W09</t>
        </is>
      </c>
      <c r="B417" s="46" t="n">
        <v>23</v>
      </c>
      <c r="C417" s="47" t="n">
        <v>58</v>
      </c>
      <c r="D417" s="47" t="n">
        <v>87.9</v>
      </c>
      <c r="E417" s="46" t="str">
        <f>IF(C417&lt;=72.0,"Y","N")</f>
        <v>Y</v>
      </c>
      <c r="F417" s="46">
        <f>IF(E417="Y",D417,"")</f>
        <v>87.9</v>
      </c>
    </row>
    <row r="418">
      <c r="A418" s="46" t="inlineStr">
        <is>
          <t>W09</t>
        </is>
      </c>
      <c r="B418" s="46" t="n">
        <v>24</v>
      </c>
      <c r="C418" s="47" t="n">
        <v>58</v>
      </c>
      <c r="D418" s="47" t="n">
        <v>86.5</v>
      </c>
      <c r="E418" s="46" t="str">
        <f>IF(C418&lt;=72.0,"Y","N")</f>
        <v>Y</v>
      </c>
      <c r="F418" s="46">
        <f>IF(E418="Y",D418,"")</f>
        <v>86.5</v>
      </c>
    </row>
    <row r="419">
      <c r="A419" s="46" t="inlineStr">
        <is>
          <t>W09</t>
        </is>
      </c>
      <c r="B419" s="46" t="n">
        <v>25</v>
      </c>
      <c r="C419" s="47" t="n">
        <v>58</v>
      </c>
      <c r="D419" s="47" t="n">
        <v>87.29</v>
      </c>
      <c r="E419" s="46" t="str">
        <f>IF(C419&lt;=72.0,"Y","N")</f>
        <v>Y</v>
      </c>
      <c r="F419" s="46">
        <f>IF(E419="Y",D419,"")</f>
        <v>87.29</v>
      </c>
    </row>
    <row r="420">
      <c r="A420" s="46" t="inlineStr">
        <is>
          <t>W09</t>
        </is>
      </c>
      <c r="B420" s="46" t="n">
        <v>26</v>
      </c>
      <c r="C420" s="47" t="n">
        <v>58</v>
      </c>
      <c r="D420" s="47" t="n">
        <v>87.88</v>
      </c>
      <c r="E420" s="46" t="str">
        <f>IF(C420&lt;=72.0,"Y","N")</f>
        <v>Y</v>
      </c>
      <c r="F420" s="46">
        <f>IF(E420="Y",D420,"")</f>
        <v>87.88</v>
      </c>
    </row>
    <row r="421">
      <c r="A421" s="46" t="inlineStr">
        <is>
          <t>W09</t>
        </is>
      </c>
      <c r="B421" s="46" t="n">
        <v>27</v>
      </c>
      <c r="C421" s="47" t="n">
        <v>58</v>
      </c>
      <c r="D421" s="47" t="n">
        <v>86.55</v>
      </c>
      <c r="E421" s="46" t="str">
        <f>IF(C421&lt;=72.0,"Y","N")</f>
        <v>Y</v>
      </c>
      <c r="F421" s="46">
        <f>IF(E421="Y",D421,"")</f>
        <v>86.55</v>
      </c>
    </row>
    <row r="422">
      <c r="A422" s="46" t="inlineStr">
        <is>
          <t>W09</t>
        </is>
      </c>
      <c r="B422" s="46" t="n">
        <v>28</v>
      </c>
      <c r="C422" s="47" t="n">
        <v>58</v>
      </c>
      <c r="D422" s="47" t="n">
        <v>87.74</v>
      </c>
      <c r="E422" s="46" t="str">
        <f>IF(C422&lt;=72.0,"Y","N")</f>
        <v>Y</v>
      </c>
      <c r="F422" s="46">
        <f>IF(E422="Y",D422,"")</f>
        <v>87.74</v>
      </c>
    </row>
    <row r="423">
      <c r="A423" s="46" t="inlineStr">
        <is>
          <t>W09</t>
        </is>
      </c>
      <c r="B423" s="46" t="n">
        <v>29</v>
      </c>
      <c r="C423" s="47" t="n">
        <v>58</v>
      </c>
      <c r="D423" s="47" t="n">
        <v>87.52</v>
      </c>
      <c r="E423" s="46" t="str">
        <f>IF(C423&lt;=72.0,"Y","N")</f>
        <v>Y</v>
      </c>
      <c r="F423" s="46">
        <f>IF(E423="Y",D423,"")</f>
        <v>87.52</v>
      </c>
    </row>
    <row r="424">
      <c r="A424" s="46" t="inlineStr">
        <is>
          <t>W09</t>
        </is>
      </c>
      <c r="B424" s="46" t="n">
        <v>30</v>
      </c>
      <c r="C424" s="47" t="n">
        <v>58</v>
      </c>
      <c r="D424" s="47" t="n">
        <v>87.9</v>
      </c>
      <c r="E424" s="46" t="str">
        <f>IF(C424&lt;=72.0,"Y","N")</f>
        <v>Y</v>
      </c>
      <c r="F424" s="46">
        <f>IF(E424="Y",D424,"")</f>
        <v>87.9</v>
      </c>
    </row>
    <row r="425">
      <c r="A425" s="46" t="inlineStr">
        <is>
          <t>W09</t>
        </is>
      </c>
      <c r="B425" s="46" t="n">
        <v>31</v>
      </c>
      <c r="C425" s="47" t="n">
        <v>58</v>
      </c>
      <c r="D425" s="47" t="n">
        <v>86.69</v>
      </c>
      <c r="E425" s="46" t="str">
        <f>IF(C425&lt;=72.0,"Y","N")</f>
        <v>Y</v>
      </c>
      <c r="F425" s="46">
        <f>IF(E425="Y",D425,"")</f>
        <v>86.69</v>
      </c>
    </row>
    <row r="426">
      <c r="A426" s="46" t="inlineStr">
        <is>
          <t>W09</t>
        </is>
      </c>
      <c r="B426" s="46" t="n">
        <v>32</v>
      </c>
      <c r="C426" s="47" t="n">
        <v>58</v>
      </c>
      <c r="D426" s="47" t="n">
        <v>86.91</v>
      </c>
      <c r="E426" s="46" t="str">
        <f>IF(C426&lt;=72.0,"Y","N")</f>
        <v>Y</v>
      </c>
      <c r="F426" s="46">
        <f>IF(E426="Y",D426,"")</f>
        <v>86.91</v>
      </c>
    </row>
    <row r="427">
      <c r="A427" s="46" t="inlineStr">
        <is>
          <t>W09</t>
        </is>
      </c>
      <c r="B427" s="46" t="n">
        <v>33</v>
      </c>
      <c r="C427" s="47" t="n">
        <v>58</v>
      </c>
      <c r="D427" s="47" t="n">
        <v>87.62</v>
      </c>
      <c r="E427" s="46" t="str">
        <f>IF(C427&lt;=72.0,"Y","N")</f>
        <v>Y</v>
      </c>
      <c r="F427" s="46">
        <f>IF(E427="Y",D427,"")</f>
        <v>87.62</v>
      </c>
    </row>
    <row r="428">
      <c r="A428" s="46" t="inlineStr">
        <is>
          <t>W09</t>
        </is>
      </c>
      <c r="B428" s="46" t="n">
        <v>34</v>
      </c>
      <c r="C428" s="47" t="n">
        <v>73</v>
      </c>
      <c r="D428" s="47" t="n">
        <v>90.11</v>
      </c>
      <c r="E428" s="46" t="str">
        <f>IF(C428&lt;=72.0,"Y","N")</f>
        <v>N</v>
      </c>
      <c r="F428" s="46" t="str">
        <f>IF(E428="Y",D428,"")</f>
        <v/>
      </c>
    </row>
    <row r="429">
      <c r="A429" s="46" t="inlineStr">
        <is>
          <t>W09</t>
        </is>
      </c>
      <c r="B429" s="46" t="n">
        <v>35</v>
      </c>
      <c r="C429" s="47" t="n">
        <v>73</v>
      </c>
      <c r="D429" s="47" t="n">
        <v>91.42</v>
      </c>
      <c r="E429" s="46" t="str">
        <f>IF(C429&lt;=72.0,"Y","N")</f>
        <v>N</v>
      </c>
      <c r="F429" s="46" t="str">
        <f>IF(E429="Y",D429,"")</f>
        <v/>
      </c>
    </row>
    <row r="430">
      <c r="A430" s="46" t="inlineStr">
        <is>
          <t>W09</t>
        </is>
      </c>
      <c r="B430" s="46" t="n">
        <v>36</v>
      </c>
      <c r="C430" s="47" t="n">
        <v>73</v>
      </c>
      <c r="D430" s="47" t="n">
        <v>91.26</v>
      </c>
      <c r="E430" s="46" t="str">
        <f>IF(C430&lt;=72.0,"Y","N")</f>
        <v>N</v>
      </c>
      <c r="F430" s="46" t="str">
        <f>IF(E430="Y",D430,"")</f>
        <v/>
      </c>
    </row>
    <row r="431">
      <c r="A431" s="46" t="inlineStr">
        <is>
          <t>W09</t>
        </is>
      </c>
      <c r="B431" s="46" t="n">
        <v>37</v>
      </c>
      <c r="C431" s="47" t="n">
        <v>73</v>
      </c>
      <c r="D431" s="47" t="n">
        <v>91.09</v>
      </c>
      <c r="E431" s="46" t="str">
        <f>IF(C431&lt;=72.0,"Y","N")</f>
        <v>N</v>
      </c>
      <c r="F431" s="46" t="str">
        <f>IF(E431="Y",D431,"")</f>
        <v/>
      </c>
    </row>
    <row r="432">
      <c r="A432" s="46" t="inlineStr">
        <is>
          <t>W09</t>
        </is>
      </c>
      <c r="B432" s="46" t="n">
        <v>38</v>
      </c>
      <c r="C432" s="47" t="n">
        <v>73</v>
      </c>
      <c r="D432" s="47" t="n">
        <v>91.34</v>
      </c>
      <c r="E432" s="46" t="str">
        <f>IF(C432&lt;=72.0,"Y","N")</f>
        <v>N</v>
      </c>
      <c r="F432" s="46" t="str">
        <f>IF(E432="Y",D432,"")</f>
        <v/>
      </c>
    </row>
    <row r="433">
      <c r="A433" s="46" t="inlineStr">
        <is>
          <t>W09</t>
        </is>
      </c>
      <c r="B433" s="46" t="n">
        <v>39</v>
      </c>
      <c r="C433" s="47" t="n">
        <v>73</v>
      </c>
      <c r="D433" s="47" t="n">
        <v>90.74</v>
      </c>
      <c r="E433" s="46" t="str">
        <f>IF(C433&lt;=72.0,"Y","N")</f>
        <v>N</v>
      </c>
      <c r="F433" s="46" t="str">
        <f>IF(E433="Y",D433,"")</f>
        <v/>
      </c>
    </row>
    <row r="434">
      <c r="A434" s="46" t="inlineStr">
        <is>
          <t>W09</t>
        </is>
      </c>
      <c r="B434" s="46" t="n">
        <v>40</v>
      </c>
      <c r="C434" s="47" t="n">
        <v>73</v>
      </c>
      <c r="D434" s="47" t="n">
        <v>89.96</v>
      </c>
      <c r="E434" s="46" t="str">
        <f>IF(C434&lt;=72.0,"Y","N")</f>
        <v>N</v>
      </c>
      <c r="F434" s="46" t="str">
        <f>IF(E434="Y",D434,"")</f>
        <v/>
      </c>
    </row>
    <row r="435">
      <c r="A435" s="46" t="inlineStr">
        <is>
          <t>W09</t>
        </is>
      </c>
      <c r="B435" s="46" t="n">
        <v>41</v>
      </c>
      <c r="C435" s="47" t="n">
        <v>73</v>
      </c>
      <c r="D435" s="47" t="n">
        <v>91.5</v>
      </c>
      <c r="E435" s="46" t="str">
        <f>IF(C435&lt;=72.0,"Y","N")</f>
        <v>N</v>
      </c>
      <c r="F435" s="46" t="str">
        <f>IF(E435="Y",D435,"")</f>
        <v/>
      </c>
    </row>
    <row r="436">
      <c r="A436" s="46" t="inlineStr">
        <is>
          <t>W09</t>
        </is>
      </c>
      <c r="B436" s="46" t="n">
        <v>42</v>
      </c>
      <c r="C436" s="47" t="n">
        <v>73</v>
      </c>
      <c r="D436" s="47" t="n">
        <v>90.69</v>
      </c>
      <c r="E436" s="46" t="str">
        <f>IF(C436&lt;=72.0,"Y","N")</f>
        <v>N</v>
      </c>
      <c r="F436" s="46" t="str">
        <f>IF(E436="Y",D436,"")</f>
        <v/>
      </c>
    </row>
    <row r="437">
      <c r="A437" s="46" t="inlineStr">
        <is>
          <t>W09</t>
        </is>
      </c>
      <c r="B437" s="46" t="n">
        <v>43</v>
      </c>
      <c r="C437" s="47" t="n">
        <v>73</v>
      </c>
      <c r="D437" s="47" t="n">
        <v>91.34</v>
      </c>
      <c r="E437" s="46" t="str">
        <f>IF(C437&lt;=72.0,"Y","N")</f>
        <v>N</v>
      </c>
      <c r="F437" s="46" t="str">
        <f>IF(E437="Y",D437,"")</f>
        <v/>
      </c>
    </row>
    <row r="438">
      <c r="A438" s="46" t="inlineStr">
        <is>
          <t>W09</t>
        </is>
      </c>
      <c r="B438" s="46" t="n">
        <v>44</v>
      </c>
      <c r="C438" s="47" t="n">
        <v>73</v>
      </c>
      <c r="D438" s="47" t="n">
        <v>89.99</v>
      </c>
      <c r="E438" s="46" t="str">
        <f>IF(C438&lt;=72.0,"Y","N")</f>
        <v>N</v>
      </c>
      <c r="F438" s="46" t="str">
        <f>IF(E438="Y",D438,"")</f>
        <v/>
      </c>
    </row>
    <row r="439">
      <c r="A439" s="46" t="inlineStr">
        <is>
          <t>W09</t>
        </is>
      </c>
      <c r="B439" s="46" t="n">
        <v>45</v>
      </c>
      <c r="C439" s="47" t="n">
        <v>73</v>
      </c>
      <c r="D439" s="47" t="n">
        <v>91.13</v>
      </c>
      <c r="E439" s="46" t="str">
        <f>IF(C439&lt;=72.0,"Y","N")</f>
        <v>N</v>
      </c>
      <c r="F439" s="46" t="str">
        <f>IF(E439="Y",D439,"")</f>
        <v/>
      </c>
    </row>
    <row r="440">
      <c r="A440" s="46" t="inlineStr">
        <is>
          <t>W09</t>
        </is>
      </c>
      <c r="B440" s="46" t="n">
        <v>46</v>
      </c>
      <c r="C440" s="47" t="n">
        <v>73</v>
      </c>
      <c r="D440" s="47" t="n">
        <v>91.44</v>
      </c>
      <c r="E440" s="46" t="str">
        <f>IF(C440&lt;=72.0,"Y","N")</f>
        <v>N</v>
      </c>
      <c r="F440" s="46" t="str">
        <f>IF(E440="Y",D440,"")</f>
        <v/>
      </c>
    </row>
    <row r="441">
      <c r="A441" s="46" t="inlineStr">
        <is>
          <t>W09</t>
        </is>
      </c>
      <c r="B441" s="46" t="n">
        <v>47</v>
      </c>
      <c r="C441" s="47" t="n">
        <v>73</v>
      </c>
      <c r="D441" s="47" t="n">
        <v>90.58</v>
      </c>
      <c r="E441" s="46" t="str">
        <f>IF(C441&lt;=72.0,"Y","N")</f>
        <v>N</v>
      </c>
      <c r="F441" s="46" t="str">
        <f>IF(E441="Y",D441,"")</f>
        <v/>
      </c>
    </row>
    <row r="442">
      <c r="A442" s="46" t="inlineStr">
        <is>
          <t>W09</t>
        </is>
      </c>
      <c r="B442" s="46" t="n">
        <v>48</v>
      </c>
      <c r="C442" s="47" t="n">
        <v>73</v>
      </c>
      <c r="D442" s="47" t="n">
        <v>90.32</v>
      </c>
      <c r="E442" s="46" t="str">
        <f>IF(C442&lt;=72.0,"Y","N")</f>
        <v>N</v>
      </c>
      <c r="F442" s="46" t="str">
        <f>IF(E442="Y",D442,"")</f>
        <v/>
      </c>
    </row>
    <row r="443">
      <c r="A443" s="46" t="inlineStr">
        <is>
          <t>W09</t>
        </is>
      </c>
      <c r="B443" s="46" t="n">
        <v>49</v>
      </c>
      <c r="C443" s="47" t="n">
        <v>73</v>
      </c>
      <c r="D443" s="47" t="n">
        <v>90.31</v>
      </c>
      <c r="E443" s="46" t="str">
        <f>IF(C443&lt;=72.0,"Y","N")</f>
        <v>N</v>
      </c>
      <c r="F443" s="46" t="str">
        <f>IF(E443="Y",D443,"")</f>
        <v/>
      </c>
    </row>
    <row r="444">
      <c r="A444" s="46" t="inlineStr">
        <is>
          <t>W10</t>
        </is>
      </c>
      <c r="B444" s="46" t="n">
        <v>1</v>
      </c>
      <c r="C444" s="47" t="n">
        <v>0</v>
      </c>
      <c r="D444" s="47" t="n">
        <v>82.45</v>
      </c>
      <c r="E444" s="46" t="str">
        <f>IF(C444&lt;=72.0,"Y","N")</f>
        <v>Y</v>
      </c>
      <c r="F444" s="46">
        <f>IF(E444="Y",D444,"")</f>
        <v>82.45</v>
      </c>
    </row>
    <row r="445">
      <c r="A445" s="46" t="inlineStr">
        <is>
          <t>W10</t>
        </is>
      </c>
      <c r="B445" s="46" t="n">
        <v>2</v>
      </c>
      <c r="C445" s="47" t="n">
        <v>22</v>
      </c>
      <c r="D445" s="47" t="n">
        <v>83.93</v>
      </c>
      <c r="E445" s="46" t="str">
        <f>IF(C445&lt;=72.0,"Y","N")</f>
        <v>Y</v>
      </c>
      <c r="F445" s="46">
        <f>IF(E445="Y",D445,"")</f>
        <v>83.93</v>
      </c>
    </row>
    <row r="446">
      <c r="A446" s="46" t="inlineStr">
        <is>
          <t>W10</t>
        </is>
      </c>
      <c r="B446" s="46" t="n">
        <v>3</v>
      </c>
      <c r="C446" s="47" t="n">
        <v>22</v>
      </c>
      <c r="D446" s="47" t="n">
        <v>83.64</v>
      </c>
      <c r="E446" s="46" t="str">
        <f>IF(C446&lt;=72.0,"Y","N")</f>
        <v>Y</v>
      </c>
      <c r="F446" s="46">
        <f>IF(E446="Y",D446,"")</f>
        <v>83.64</v>
      </c>
    </row>
    <row r="447">
      <c r="A447" s="46" t="inlineStr">
        <is>
          <t>W10</t>
        </is>
      </c>
      <c r="B447" s="46" t="n">
        <v>4</v>
      </c>
      <c r="C447" s="47" t="n">
        <v>22</v>
      </c>
      <c r="D447" s="47" t="n">
        <v>83.72</v>
      </c>
      <c r="E447" s="46" t="str">
        <f>IF(C447&lt;=72.0,"Y","N")</f>
        <v>Y</v>
      </c>
      <c r="F447" s="46">
        <f>IF(E447="Y",D447,"")</f>
        <v>83.72</v>
      </c>
    </row>
    <row r="448">
      <c r="A448" s="46" t="inlineStr">
        <is>
          <t>W10</t>
        </is>
      </c>
      <c r="B448" s="46" t="n">
        <v>5</v>
      </c>
      <c r="C448" s="47" t="n">
        <v>22</v>
      </c>
      <c r="D448" s="47" t="n">
        <v>83.48</v>
      </c>
      <c r="E448" s="46" t="str">
        <f>IF(C448&lt;=72.0,"Y","N")</f>
        <v>Y</v>
      </c>
      <c r="F448" s="46">
        <f>IF(E448="Y",D448,"")</f>
        <v>83.48</v>
      </c>
    </row>
    <row r="449">
      <c r="A449" s="46" t="inlineStr">
        <is>
          <t>W10</t>
        </is>
      </c>
      <c r="B449" s="46" t="n">
        <v>6</v>
      </c>
      <c r="C449" s="47" t="n">
        <v>22</v>
      </c>
      <c r="D449" s="47" t="n">
        <v>83.09</v>
      </c>
      <c r="E449" s="46" t="str">
        <f>IF(C449&lt;=72.0,"Y","N")</f>
        <v>Y</v>
      </c>
      <c r="F449" s="46">
        <f>IF(E449="Y",D449,"")</f>
        <v>83.09</v>
      </c>
    </row>
    <row r="450">
      <c r="A450" s="46" t="inlineStr">
        <is>
          <t>W10</t>
        </is>
      </c>
      <c r="B450" s="46" t="n">
        <v>7</v>
      </c>
      <c r="C450" s="47" t="n">
        <v>22</v>
      </c>
      <c r="D450" s="47" t="n">
        <v>84.09</v>
      </c>
      <c r="E450" s="46" t="str">
        <f>IF(C450&lt;=72.0,"Y","N")</f>
        <v>Y</v>
      </c>
      <c r="F450" s="46">
        <f>IF(E450="Y",D450,"")</f>
        <v>84.09</v>
      </c>
    </row>
    <row r="451">
      <c r="A451" s="46" t="inlineStr">
        <is>
          <t>W10</t>
        </is>
      </c>
      <c r="B451" s="46" t="n">
        <v>8</v>
      </c>
      <c r="C451" s="47" t="n">
        <v>22</v>
      </c>
      <c r="D451" s="47" t="n">
        <v>83.64</v>
      </c>
      <c r="E451" s="46" t="str">
        <f>IF(C451&lt;=72.0,"Y","N")</f>
        <v>Y</v>
      </c>
      <c r="F451" s="46">
        <f>IF(E451="Y",D451,"")</f>
        <v>83.64</v>
      </c>
    </row>
    <row r="452">
      <c r="A452" s="46" t="inlineStr">
        <is>
          <t>W10</t>
        </is>
      </c>
      <c r="B452" s="46" t="n">
        <v>9</v>
      </c>
      <c r="C452" s="47" t="n">
        <v>22</v>
      </c>
      <c r="D452" s="47" t="n">
        <v>84.1</v>
      </c>
      <c r="E452" s="46" t="str">
        <f>IF(C452&lt;=72.0,"Y","N")</f>
        <v>Y</v>
      </c>
      <c r="F452" s="46">
        <f>IF(E452="Y",D452,"")</f>
        <v>84.1</v>
      </c>
    </row>
    <row r="453">
      <c r="A453" s="46" t="inlineStr">
        <is>
          <t>W10</t>
        </is>
      </c>
      <c r="B453" s="46" t="n">
        <v>10</v>
      </c>
      <c r="C453" s="47" t="n">
        <v>40</v>
      </c>
      <c r="D453" s="47" t="n">
        <v>85.85</v>
      </c>
      <c r="E453" s="46" t="str">
        <f>IF(C453&lt;=72.0,"Y","N")</f>
        <v>Y</v>
      </c>
      <c r="F453" s="46">
        <f>IF(E453="Y",D453,"")</f>
        <v>85.85</v>
      </c>
    </row>
    <row r="454">
      <c r="A454" s="46" t="inlineStr">
        <is>
          <t>W10</t>
        </is>
      </c>
      <c r="B454" s="46" t="n">
        <v>11</v>
      </c>
      <c r="C454" s="47" t="n">
        <v>40</v>
      </c>
      <c r="D454" s="47" t="n">
        <v>84.98</v>
      </c>
      <c r="E454" s="46" t="str">
        <f>IF(C454&lt;=72.0,"Y","N")</f>
        <v>Y</v>
      </c>
      <c r="F454" s="46">
        <f>IF(E454="Y",D454,"")</f>
        <v>84.98</v>
      </c>
    </row>
    <row r="455">
      <c r="A455" s="46" t="inlineStr">
        <is>
          <t>W10</t>
        </is>
      </c>
      <c r="B455" s="46" t="n">
        <v>12</v>
      </c>
      <c r="C455" s="47" t="n">
        <v>40</v>
      </c>
      <c r="D455" s="47" t="n">
        <v>85.51</v>
      </c>
      <c r="E455" s="46" t="str">
        <f>IF(C455&lt;=72.0,"Y","N")</f>
        <v>Y</v>
      </c>
      <c r="F455" s="46">
        <f>IF(E455="Y",D455,"")</f>
        <v>85.51</v>
      </c>
    </row>
    <row r="456">
      <c r="A456" s="46" t="inlineStr">
        <is>
          <t>W10</t>
        </is>
      </c>
      <c r="B456" s="46" t="n">
        <v>13</v>
      </c>
      <c r="C456" s="47" t="n">
        <v>40</v>
      </c>
      <c r="D456" s="47" t="n">
        <v>86.29</v>
      </c>
      <c r="E456" s="46" t="str">
        <f>IF(C456&lt;=72.0,"Y","N")</f>
        <v>Y</v>
      </c>
      <c r="F456" s="46">
        <f>IF(E456="Y",D456,"")</f>
        <v>86.29</v>
      </c>
    </row>
    <row r="457">
      <c r="A457" s="46" t="inlineStr">
        <is>
          <t>W10</t>
        </is>
      </c>
      <c r="B457" s="46" t="n">
        <v>14</v>
      </c>
      <c r="C457" s="47" t="n">
        <v>40</v>
      </c>
      <c r="D457" s="47" t="n">
        <v>85.77</v>
      </c>
      <c r="E457" s="46" t="str">
        <f>IF(C457&lt;=72.0,"Y","N")</f>
        <v>Y</v>
      </c>
      <c r="F457" s="46">
        <f>IF(E457="Y",D457,"")</f>
        <v>85.77</v>
      </c>
    </row>
    <row r="458">
      <c r="A458" s="46" t="inlineStr">
        <is>
          <t>W10</t>
        </is>
      </c>
      <c r="B458" s="46" t="n">
        <v>15</v>
      </c>
      <c r="C458" s="47" t="n">
        <v>40</v>
      </c>
      <c r="D458" s="47" t="n">
        <v>85.92</v>
      </c>
      <c r="E458" s="46" t="str">
        <f>IF(C458&lt;=72.0,"Y","N")</f>
        <v>Y</v>
      </c>
      <c r="F458" s="46">
        <f>IF(E458="Y",D458,"")</f>
        <v>85.92</v>
      </c>
    </row>
    <row r="459">
      <c r="A459" s="46" t="inlineStr">
        <is>
          <t>W10</t>
        </is>
      </c>
      <c r="B459" s="46" t="n">
        <v>16</v>
      </c>
      <c r="C459" s="47" t="n">
        <v>40</v>
      </c>
      <c r="D459" s="47" t="n">
        <v>85.86</v>
      </c>
      <c r="E459" s="46" t="str">
        <f>IF(C459&lt;=72.0,"Y","N")</f>
        <v>Y</v>
      </c>
      <c r="F459" s="46">
        <f>IF(E459="Y",D459,"")</f>
        <v>85.86</v>
      </c>
    </row>
    <row r="460">
      <c r="A460" s="46" t="inlineStr">
        <is>
          <t>W10</t>
        </is>
      </c>
      <c r="B460" s="46" t="n">
        <v>17</v>
      </c>
      <c r="C460" s="47" t="n">
        <v>40</v>
      </c>
      <c r="D460" s="47" t="n">
        <v>86.36</v>
      </c>
      <c r="E460" s="46" t="str">
        <f>IF(C460&lt;=72.0,"Y","N")</f>
        <v>Y</v>
      </c>
      <c r="F460" s="46">
        <f>IF(E460="Y",D460,"")</f>
        <v>86.36</v>
      </c>
    </row>
    <row r="461">
      <c r="A461" s="46" t="inlineStr">
        <is>
          <t>W10</t>
        </is>
      </c>
      <c r="B461" s="46" t="n">
        <v>18</v>
      </c>
      <c r="C461" s="47" t="n">
        <v>40</v>
      </c>
      <c r="D461" s="47" t="n">
        <v>86.02</v>
      </c>
      <c r="E461" s="46" t="str">
        <f>IF(C461&lt;=72.0,"Y","N")</f>
        <v>Y</v>
      </c>
      <c r="F461" s="46">
        <f>IF(E461="Y",D461,"")</f>
        <v>86.02</v>
      </c>
    </row>
    <row r="462">
      <c r="A462" s="46" t="inlineStr">
        <is>
          <t>W10</t>
        </is>
      </c>
      <c r="B462" s="46" t="n">
        <v>19</v>
      </c>
      <c r="C462" s="47" t="n">
        <v>40</v>
      </c>
      <c r="D462" s="47" t="n">
        <v>86.45</v>
      </c>
      <c r="E462" s="46" t="str">
        <f>IF(C462&lt;=72.0,"Y","N")</f>
        <v>Y</v>
      </c>
      <c r="F462" s="46">
        <f>IF(E462="Y",D462,"")</f>
        <v>86.45</v>
      </c>
    </row>
    <row r="463">
      <c r="A463" s="46" t="inlineStr">
        <is>
          <t>W10</t>
        </is>
      </c>
      <c r="B463" s="46" t="n">
        <v>20</v>
      </c>
      <c r="C463" s="47" t="n">
        <v>40</v>
      </c>
      <c r="D463" s="47" t="n">
        <v>86.2</v>
      </c>
      <c r="E463" s="46" t="str">
        <f>IF(C463&lt;=72.0,"Y","N")</f>
        <v>Y</v>
      </c>
      <c r="F463" s="46">
        <f>IF(E463="Y",D463,"")</f>
        <v>86.2</v>
      </c>
    </row>
    <row r="464">
      <c r="A464" s="46" t="inlineStr">
        <is>
          <t>W10</t>
        </is>
      </c>
      <c r="B464" s="46" t="n">
        <v>21</v>
      </c>
      <c r="C464" s="47" t="n">
        <v>40</v>
      </c>
      <c r="D464" s="47" t="n">
        <v>85.75</v>
      </c>
      <c r="E464" s="46" t="str">
        <f>IF(C464&lt;=72.0,"Y","N")</f>
        <v>Y</v>
      </c>
      <c r="F464" s="46">
        <f>IF(E464="Y",D464,"")</f>
        <v>85.75</v>
      </c>
    </row>
    <row r="465">
      <c r="A465" s="46" t="inlineStr">
        <is>
          <t>W10</t>
        </is>
      </c>
      <c r="B465" s="46" t="n">
        <v>22</v>
      </c>
      <c r="C465" s="47" t="n">
        <v>58</v>
      </c>
      <c r="D465" s="47" t="n">
        <v>88.41</v>
      </c>
      <c r="E465" s="46" t="str">
        <f>IF(C465&lt;=72.0,"Y","N")</f>
        <v>Y</v>
      </c>
      <c r="F465" s="46">
        <f>IF(E465="Y",D465,"")</f>
        <v>88.41</v>
      </c>
    </row>
    <row r="466">
      <c r="A466" s="46" t="inlineStr">
        <is>
          <t>W10</t>
        </is>
      </c>
      <c r="B466" s="46" t="n">
        <v>23</v>
      </c>
      <c r="C466" s="47" t="n">
        <v>58</v>
      </c>
      <c r="D466" s="47" t="n">
        <v>88.28</v>
      </c>
      <c r="E466" s="46" t="str">
        <f>IF(C466&lt;=72.0,"Y","N")</f>
        <v>Y</v>
      </c>
      <c r="F466" s="46">
        <f>IF(E466="Y",D466,"")</f>
        <v>88.28</v>
      </c>
    </row>
    <row r="467">
      <c r="A467" s="46" t="inlineStr">
        <is>
          <t>W10</t>
        </is>
      </c>
      <c r="B467" s="46" t="n">
        <v>24</v>
      </c>
      <c r="C467" s="47" t="n">
        <v>58</v>
      </c>
      <c r="D467" s="47" t="n">
        <v>88.9</v>
      </c>
      <c r="E467" s="46" t="str">
        <f>IF(C467&lt;=72.0,"Y","N")</f>
        <v>Y</v>
      </c>
      <c r="F467" s="46">
        <f>IF(E467="Y",D467,"")</f>
        <v>88.9</v>
      </c>
    </row>
    <row r="468">
      <c r="A468" s="46" t="inlineStr">
        <is>
          <t>W10</t>
        </is>
      </c>
      <c r="B468" s="46" t="n">
        <v>25</v>
      </c>
      <c r="C468" s="47" t="n">
        <v>58</v>
      </c>
      <c r="D468" s="47" t="n">
        <v>89.03</v>
      </c>
      <c r="E468" s="46" t="str">
        <f>IF(C468&lt;=72.0,"Y","N")</f>
        <v>Y</v>
      </c>
      <c r="F468" s="46">
        <f>IF(E468="Y",D468,"")</f>
        <v>89.03</v>
      </c>
    </row>
    <row r="469">
      <c r="A469" s="46" t="inlineStr">
        <is>
          <t>W10</t>
        </is>
      </c>
      <c r="B469" s="46" t="n">
        <v>26</v>
      </c>
      <c r="C469" s="47" t="n">
        <v>58</v>
      </c>
      <c r="D469" s="47" t="n">
        <v>88.11</v>
      </c>
      <c r="E469" s="46" t="str">
        <f>IF(C469&lt;=72.0,"Y","N")</f>
        <v>Y</v>
      </c>
      <c r="F469" s="46">
        <f>IF(E469="Y",D469,"")</f>
        <v>88.11</v>
      </c>
    </row>
    <row r="470">
      <c r="A470" s="46" t="inlineStr">
        <is>
          <t>W10</t>
        </is>
      </c>
      <c r="B470" s="46" t="n">
        <v>27</v>
      </c>
      <c r="C470" s="47" t="n">
        <v>58</v>
      </c>
      <c r="D470" s="47" t="n">
        <v>89.29</v>
      </c>
      <c r="E470" s="46" t="str">
        <f>IF(C470&lt;=72.0,"Y","N")</f>
        <v>Y</v>
      </c>
      <c r="F470" s="46">
        <f>IF(E470="Y",D470,"")</f>
        <v>89.29</v>
      </c>
    </row>
    <row r="471">
      <c r="A471" s="46" t="inlineStr">
        <is>
          <t>W10</t>
        </is>
      </c>
      <c r="B471" s="46" t="n">
        <v>28</v>
      </c>
      <c r="C471" s="47" t="n">
        <v>58</v>
      </c>
      <c r="D471" s="47" t="n">
        <v>89.34</v>
      </c>
      <c r="E471" s="46" t="str">
        <f>IF(C471&lt;=72.0,"Y","N")</f>
        <v>Y</v>
      </c>
      <c r="F471" s="46">
        <f>IF(E471="Y",D471,"")</f>
        <v>89.34</v>
      </c>
    </row>
    <row r="472">
      <c r="A472" s="46" t="inlineStr">
        <is>
          <t>W10</t>
        </is>
      </c>
      <c r="B472" s="46" t="n">
        <v>29</v>
      </c>
      <c r="C472" s="47" t="n">
        <v>58</v>
      </c>
      <c r="D472" s="47" t="n">
        <v>89.4</v>
      </c>
      <c r="E472" s="46" t="str">
        <f>IF(C472&lt;=72.0,"Y","N")</f>
        <v>Y</v>
      </c>
      <c r="F472" s="46">
        <f>IF(E472="Y",D472,"")</f>
        <v>89.4</v>
      </c>
    </row>
    <row r="473">
      <c r="A473" s="46" t="inlineStr">
        <is>
          <t>W10</t>
        </is>
      </c>
      <c r="B473" s="46" t="n">
        <v>30</v>
      </c>
      <c r="C473" s="47" t="n">
        <v>58</v>
      </c>
      <c r="D473" s="47" t="n">
        <v>89.14</v>
      </c>
      <c r="E473" s="46" t="str">
        <f>IF(C473&lt;=72.0,"Y","N")</f>
        <v>Y</v>
      </c>
      <c r="F473" s="46">
        <f>IF(E473="Y",D473,"")</f>
        <v>89.14</v>
      </c>
    </row>
    <row r="474">
      <c r="A474" s="46" t="inlineStr">
        <is>
          <t>W10</t>
        </is>
      </c>
      <c r="B474" s="46" t="n">
        <v>31</v>
      </c>
      <c r="C474" s="47" t="n">
        <v>58</v>
      </c>
      <c r="D474" s="47" t="n">
        <v>88.44</v>
      </c>
      <c r="E474" s="46" t="str">
        <f>IF(C474&lt;=72.0,"Y","N")</f>
        <v>Y</v>
      </c>
      <c r="F474" s="46">
        <f>IF(E474="Y",D474,"")</f>
        <v>88.44</v>
      </c>
    </row>
    <row r="475">
      <c r="A475" s="46" t="inlineStr">
        <is>
          <t>W10</t>
        </is>
      </c>
      <c r="B475" s="46" t="n">
        <v>32</v>
      </c>
      <c r="C475" s="47" t="n">
        <v>58</v>
      </c>
      <c r="D475" s="47" t="n">
        <v>89.53</v>
      </c>
      <c r="E475" s="46" t="str">
        <f>IF(C475&lt;=72.0,"Y","N")</f>
        <v>Y</v>
      </c>
      <c r="F475" s="46">
        <f>IF(E475="Y",D475,"")</f>
        <v>89.53</v>
      </c>
    </row>
    <row r="476">
      <c r="A476" s="46" t="inlineStr">
        <is>
          <t>W10</t>
        </is>
      </c>
      <c r="B476" s="46" t="n">
        <v>33</v>
      </c>
      <c r="C476" s="47" t="n">
        <v>58</v>
      </c>
      <c r="D476" s="47" t="n">
        <v>88.65</v>
      </c>
      <c r="E476" s="46" t="str">
        <f>IF(C476&lt;=72.0,"Y","N")</f>
        <v>Y</v>
      </c>
      <c r="F476" s="46">
        <f>IF(E476="Y",D476,"")</f>
        <v>88.65</v>
      </c>
    </row>
    <row r="477">
      <c r="A477" s="46" t="inlineStr">
        <is>
          <t>W10</t>
        </is>
      </c>
      <c r="B477" s="46" t="n">
        <v>34</v>
      </c>
      <c r="C477" s="47" t="n">
        <v>73</v>
      </c>
      <c r="D477" s="47" t="n">
        <v>92.32</v>
      </c>
      <c r="E477" s="46" t="str">
        <f>IF(C477&lt;=72.0,"Y","N")</f>
        <v>N</v>
      </c>
      <c r="F477" s="46" t="str">
        <f>IF(E477="Y",D477,"")</f>
        <v/>
      </c>
    </row>
    <row r="478">
      <c r="A478" s="46" t="inlineStr">
        <is>
          <t>W10</t>
        </is>
      </c>
      <c r="B478" s="46" t="n">
        <v>35</v>
      </c>
      <c r="C478" s="47" t="n">
        <v>73</v>
      </c>
      <c r="D478" s="47" t="n">
        <v>92.76</v>
      </c>
      <c r="E478" s="46" t="str">
        <f>IF(C478&lt;=72.0,"Y","N")</f>
        <v>N</v>
      </c>
      <c r="F478" s="46" t="str">
        <f>IF(E478="Y",D478,"")</f>
        <v/>
      </c>
    </row>
    <row r="479">
      <c r="A479" s="46" t="inlineStr">
        <is>
          <t>W10</t>
        </is>
      </c>
      <c r="B479" s="46" t="n">
        <v>36</v>
      </c>
      <c r="C479" s="47" t="n">
        <v>73</v>
      </c>
      <c r="D479" s="47" t="n">
        <v>93.16</v>
      </c>
      <c r="E479" s="46" t="str">
        <f>IF(C479&lt;=72.0,"Y","N")</f>
        <v>N</v>
      </c>
      <c r="F479" s="46" t="str">
        <f>IF(E479="Y",D479,"")</f>
        <v/>
      </c>
    </row>
    <row r="480">
      <c r="A480" s="46" t="inlineStr">
        <is>
          <t>W10</t>
        </is>
      </c>
      <c r="B480" s="46" t="n">
        <v>37</v>
      </c>
      <c r="C480" s="47" t="n">
        <v>73</v>
      </c>
      <c r="D480" s="47" t="n">
        <v>91.98</v>
      </c>
      <c r="E480" s="46" t="str">
        <f>IF(C480&lt;=72.0,"Y","N")</f>
        <v>N</v>
      </c>
      <c r="F480" s="46" t="str">
        <f>IF(E480="Y",D480,"")</f>
        <v/>
      </c>
    </row>
    <row r="481">
      <c r="A481" s="46" t="inlineStr">
        <is>
          <t>W10</t>
        </is>
      </c>
      <c r="B481" s="46" t="n">
        <v>38</v>
      </c>
      <c r="C481" s="47" t="n">
        <v>73</v>
      </c>
      <c r="D481" s="47" t="n">
        <v>92.16</v>
      </c>
      <c r="E481" s="46" t="str">
        <f>IF(C481&lt;=72.0,"Y","N")</f>
        <v>N</v>
      </c>
      <c r="F481" s="46" t="str">
        <f>IF(E481="Y",D481,"")</f>
        <v/>
      </c>
    </row>
    <row r="482">
      <c r="A482" s="46" t="inlineStr">
        <is>
          <t>W10</t>
        </is>
      </c>
      <c r="B482" s="46" t="n">
        <v>39</v>
      </c>
      <c r="C482" s="47" t="n">
        <v>73</v>
      </c>
      <c r="D482" s="47" t="n">
        <v>92.08</v>
      </c>
      <c r="E482" s="46" t="str">
        <f>IF(C482&lt;=72.0,"Y","N")</f>
        <v>N</v>
      </c>
      <c r="F482" s="46" t="str">
        <f>IF(E482="Y",D482,"")</f>
        <v/>
      </c>
    </row>
    <row r="483">
      <c r="A483" s="46" t="inlineStr">
        <is>
          <t>W10</t>
        </is>
      </c>
      <c r="B483" s="46" t="n">
        <v>40</v>
      </c>
      <c r="C483" s="47" t="n">
        <v>73</v>
      </c>
      <c r="D483" s="47" t="n">
        <v>92.86</v>
      </c>
      <c r="E483" s="46" t="str">
        <f>IF(C483&lt;=72.0,"Y","N")</f>
        <v>N</v>
      </c>
      <c r="F483" s="46" t="str">
        <f>IF(E483="Y",D483,"")</f>
        <v/>
      </c>
    </row>
    <row r="484">
      <c r="A484" s="46" t="inlineStr">
        <is>
          <t>W10</t>
        </is>
      </c>
      <c r="B484" s="46" t="n">
        <v>41</v>
      </c>
      <c r="C484" s="47" t="n">
        <v>73</v>
      </c>
      <c r="D484" s="47" t="n">
        <v>92.26</v>
      </c>
      <c r="E484" s="46" t="str">
        <f>IF(C484&lt;=72.0,"Y","N")</f>
        <v>N</v>
      </c>
      <c r="F484" s="46" t="str">
        <f>IF(E484="Y",D484,"")</f>
        <v/>
      </c>
    </row>
    <row r="485">
      <c r="A485" s="46" t="inlineStr">
        <is>
          <t>W10</t>
        </is>
      </c>
      <c r="B485" s="46" t="n">
        <v>42</v>
      </c>
      <c r="C485" s="47" t="n">
        <v>73</v>
      </c>
      <c r="D485" s="47" t="n">
        <v>92.42</v>
      </c>
      <c r="E485" s="46" t="str">
        <f>IF(C485&lt;=72.0,"Y","N")</f>
        <v>N</v>
      </c>
      <c r="F485" s="46" t="str">
        <f>IF(E485="Y",D485,"")</f>
        <v/>
      </c>
    </row>
    <row r="486">
      <c r="A486" s="46" t="inlineStr">
        <is>
          <t>W10</t>
        </is>
      </c>
      <c r="B486" s="46" t="n">
        <v>43</v>
      </c>
      <c r="C486" s="47" t="n">
        <v>73</v>
      </c>
      <c r="D486" s="47" t="n">
        <v>92.92</v>
      </c>
      <c r="E486" s="46" t="str">
        <f>IF(C486&lt;=72.0,"Y","N")</f>
        <v>N</v>
      </c>
      <c r="F486" s="46" t="str">
        <f>IF(E486="Y",D486,"")</f>
        <v/>
      </c>
    </row>
    <row r="487">
      <c r="A487" s="46" t="inlineStr">
        <is>
          <t>W10</t>
        </is>
      </c>
      <c r="B487" s="46" t="n">
        <v>44</v>
      </c>
      <c r="C487" s="47" t="n">
        <v>73</v>
      </c>
      <c r="D487" s="47" t="n">
        <v>92.11</v>
      </c>
      <c r="E487" s="46" t="str">
        <f>IF(C487&lt;=72.0,"Y","N")</f>
        <v>N</v>
      </c>
      <c r="F487" s="46" t="str">
        <f>IF(E487="Y",D487,"")</f>
        <v/>
      </c>
    </row>
    <row r="488">
      <c r="A488" s="46" t="inlineStr">
        <is>
          <t>W10</t>
        </is>
      </c>
      <c r="B488" s="46" t="n">
        <v>45</v>
      </c>
      <c r="C488" s="47" t="n">
        <v>73</v>
      </c>
      <c r="D488" s="47" t="n">
        <v>91.85</v>
      </c>
      <c r="E488" s="46" t="str">
        <f>IF(C488&lt;=72.0,"Y","N")</f>
        <v>N</v>
      </c>
      <c r="F488" s="46" t="str">
        <f>IF(E488="Y",D488,"")</f>
        <v/>
      </c>
    </row>
    <row r="489">
      <c r="A489" s="46" t="inlineStr">
        <is>
          <t>W10</t>
        </is>
      </c>
      <c r="B489" s="46" t="n">
        <v>46</v>
      </c>
      <c r="C489" s="47" t="n">
        <v>73</v>
      </c>
      <c r="D489" s="47" t="n">
        <v>92.11</v>
      </c>
      <c r="E489" s="46" t="str">
        <f>IF(C489&lt;=72.0,"Y","N")</f>
        <v>N</v>
      </c>
      <c r="F489" s="46" t="str">
        <f>IF(E489="Y",D489,"")</f>
        <v/>
      </c>
    </row>
    <row r="490">
      <c r="A490" s="46" t="inlineStr">
        <is>
          <t>W10</t>
        </is>
      </c>
      <c r="B490" s="46" t="n">
        <v>47</v>
      </c>
      <c r="C490" s="47" t="n">
        <v>73</v>
      </c>
      <c r="D490" s="47" t="n">
        <v>91.9</v>
      </c>
      <c r="E490" s="46" t="str">
        <f>IF(C490&lt;=72.0,"Y","N")</f>
        <v>N</v>
      </c>
      <c r="F490" s="46" t="str">
        <f>IF(E490="Y",D490,"")</f>
        <v/>
      </c>
    </row>
    <row r="491">
      <c r="A491" s="46" t="inlineStr">
        <is>
          <t>W10</t>
        </is>
      </c>
      <c r="B491" s="46" t="n">
        <v>48</v>
      </c>
      <c r="C491" s="47" t="n">
        <v>73</v>
      </c>
      <c r="D491" s="47" t="n">
        <v>92.92</v>
      </c>
      <c r="E491" s="46" t="str">
        <f>IF(C491&lt;=72.0,"Y","N")</f>
        <v>N</v>
      </c>
      <c r="F491" s="46" t="str">
        <f>IF(E491="Y",D491,"")</f>
        <v/>
      </c>
    </row>
    <row r="492">
      <c r="A492" s="46" t="inlineStr">
        <is>
          <t>W10</t>
        </is>
      </c>
      <c r="B492" s="46" t="n">
        <v>49</v>
      </c>
      <c r="C492" s="47" t="n">
        <v>73</v>
      </c>
      <c r="D492" s="47" t="n">
        <v>92.99</v>
      </c>
      <c r="E492" s="46" t="str">
        <f>IF(C492&lt;=72.0,"Y","N")</f>
        <v>N</v>
      </c>
      <c r="F492" s="46" t="str">
        <f>IF(E492="Y",D492,"")</f>
        <v/>
      </c>
    </row>
    <row r="493">
      <c r="A493" s="46" t="inlineStr">
        <is>
          <t>W11</t>
        </is>
      </c>
      <c r="B493" s="46" t="n">
        <v>1</v>
      </c>
      <c r="C493" s="47" t="n">
        <v>0</v>
      </c>
      <c r="D493" s="47" t="n">
        <v>82.29</v>
      </c>
      <c r="E493" s="46" t="str">
        <f>IF(C493&lt;=72.0,"Y","N")</f>
        <v>Y</v>
      </c>
      <c r="F493" s="46">
        <f>IF(E493="Y",D493,"")</f>
        <v>82.29</v>
      </c>
    </row>
    <row r="494">
      <c r="A494" s="46" t="inlineStr">
        <is>
          <t>W11</t>
        </is>
      </c>
      <c r="B494" s="46" t="n">
        <v>2</v>
      </c>
      <c r="C494" s="47" t="n">
        <v>22</v>
      </c>
      <c r="D494" s="47" t="n">
        <v>82.15</v>
      </c>
      <c r="E494" s="46" t="str">
        <f>IF(C494&lt;=72.0,"Y","N")</f>
        <v>Y</v>
      </c>
      <c r="F494" s="46">
        <f>IF(E494="Y",D494,"")</f>
        <v>82.15</v>
      </c>
    </row>
    <row r="495">
      <c r="A495" s="46" t="inlineStr">
        <is>
          <t>W11</t>
        </is>
      </c>
      <c r="B495" s="46" t="n">
        <v>3</v>
      </c>
      <c r="C495" s="47" t="n">
        <v>22</v>
      </c>
      <c r="D495" s="47" t="n">
        <v>82.72</v>
      </c>
      <c r="E495" s="46" t="str">
        <f>IF(C495&lt;=72.0,"Y","N")</f>
        <v>Y</v>
      </c>
      <c r="F495" s="46">
        <f>IF(E495="Y",D495,"")</f>
        <v>82.72</v>
      </c>
    </row>
    <row r="496">
      <c r="A496" s="46" t="inlineStr">
        <is>
          <t>W11</t>
        </is>
      </c>
      <c r="B496" s="46" t="n">
        <v>4</v>
      </c>
      <c r="C496" s="47" t="n">
        <v>22</v>
      </c>
      <c r="D496" s="47" t="n">
        <v>83.17</v>
      </c>
      <c r="E496" s="46" t="str">
        <f>IF(C496&lt;=72.0,"Y","N")</f>
        <v>Y</v>
      </c>
      <c r="F496" s="46">
        <f>IF(E496="Y",D496,"")</f>
        <v>83.17</v>
      </c>
    </row>
    <row r="497">
      <c r="A497" s="46" t="inlineStr">
        <is>
          <t>W11</t>
        </is>
      </c>
      <c r="B497" s="46" t="n">
        <v>5</v>
      </c>
      <c r="C497" s="47" t="n">
        <v>22</v>
      </c>
      <c r="D497" s="47" t="n">
        <v>82.24</v>
      </c>
      <c r="E497" s="46" t="str">
        <f>IF(C497&lt;=72.0,"Y","N")</f>
        <v>Y</v>
      </c>
      <c r="F497" s="46">
        <f>IF(E497="Y",D497,"")</f>
        <v>82.24</v>
      </c>
    </row>
    <row r="498">
      <c r="A498" s="46" t="inlineStr">
        <is>
          <t>W11</t>
        </is>
      </c>
      <c r="B498" s="46" t="n">
        <v>6</v>
      </c>
      <c r="C498" s="47" t="n">
        <v>22</v>
      </c>
      <c r="D498" s="47" t="n">
        <v>83.06</v>
      </c>
      <c r="E498" s="46" t="str">
        <f>IF(C498&lt;=72.0,"Y","N")</f>
        <v>Y</v>
      </c>
      <c r="F498" s="46">
        <f>IF(E498="Y",D498,"")</f>
        <v>83.06</v>
      </c>
    </row>
    <row r="499">
      <c r="A499" s="46" t="inlineStr">
        <is>
          <t>W11</t>
        </is>
      </c>
      <c r="B499" s="46" t="n">
        <v>7</v>
      </c>
      <c r="C499" s="47" t="n">
        <v>22</v>
      </c>
      <c r="D499" s="47" t="n">
        <v>82.78</v>
      </c>
      <c r="E499" s="46" t="str">
        <f>IF(C499&lt;=72.0,"Y","N")</f>
        <v>Y</v>
      </c>
      <c r="F499" s="46">
        <f>IF(E499="Y",D499,"")</f>
        <v>82.78</v>
      </c>
    </row>
    <row r="500">
      <c r="A500" s="46" t="inlineStr">
        <is>
          <t>W11</t>
        </is>
      </c>
      <c r="B500" s="46" t="n">
        <v>8</v>
      </c>
      <c r="C500" s="47" t="n">
        <v>22</v>
      </c>
      <c r="D500" s="47" t="n">
        <v>82.55</v>
      </c>
      <c r="E500" s="46" t="str">
        <f>IF(C500&lt;=72.0,"Y","N")</f>
        <v>Y</v>
      </c>
      <c r="F500" s="46">
        <f>IF(E500="Y",D500,"")</f>
        <v>82.55</v>
      </c>
    </row>
    <row r="501">
      <c r="A501" s="46" t="inlineStr">
        <is>
          <t>W11</t>
        </is>
      </c>
      <c r="B501" s="46" t="n">
        <v>9</v>
      </c>
      <c r="C501" s="47" t="n">
        <v>22</v>
      </c>
      <c r="D501" s="47" t="n">
        <v>83.42</v>
      </c>
      <c r="E501" s="46" t="str">
        <f>IF(C501&lt;=72.0,"Y","N")</f>
        <v>Y</v>
      </c>
      <c r="F501" s="46">
        <f>IF(E501="Y",D501,"")</f>
        <v>83.42</v>
      </c>
    </row>
    <row r="502">
      <c r="A502" s="46" t="inlineStr">
        <is>
          <t>W11</t>
        </is>
      </c>
      <c r="B502" s="46" t="n">
        <v>10</v>
      </c>
      <c r="C502" s="47" t="n">
        <v>40</v>
      </c>
      <c r="D502" s="47" t="n">
        <v>84.05</v>
      </c>
      <c r="E502" s="46" t="str">
        <f>IF(C502&lt;=72.0,"Y","N")</f>
        <v>Y</v>
      </c>
      <c r="F502" s="46">
        <f>IF(E502="Y",D502,"")</f>
        <v>84.05</v>
      </c>
    </row>
    <row r="503">
      <c r="A503" s="46" t="inlineStr">
        <is>
          <t>W11</t>
        </is>
      </c>
      <c r="B503" s="46" t="n">
        <v>11</v>
      </c>
      <c r="C503" s="47" t="n">
        <v>40</v>
      </c>
      <c r="D503" s="47" t="n">
        <v>84.86</v>
      </c>
      <c r="E503" s="46" t="str">
        <f>IF(C503&lt;=72.0,"Y","N")</f>
        <v>Y</v>
      </c>
      <c r="F503" s="46">
        <f>IF(E503="Y",D503,"")</f>
        <v>84.86</v>
      </c>
    </row>
    <row r="504">
      <c r="A504" s="46" t="inlineStr">
        <is>
          <t>W11</t>
        </is>
      </c>
      <c r="B504" s="46" t="n">
        <v>12</v>
      </c>
      <c r="C504" s="47" t="n">
        <v>40</v>
      </c>
      <c r="D504" s="47" t="n">
        <v>84.23</v>
      </c>
      <c r="E504" s="46" t="str">
        <f>IF(C504&lt;=72.0,"Y","N")</f>
        <v>Y</v>
      </c>
      <c r="F504" s="46">
        <f>IF(E504="Y",D504,"")</f>
        <v>84.23</v>
      </c>
    </row>
    <row r="505">
      <c r="A505" s="46" t="inlineStr">
        <is>
          <t>W11</t>
        </is>
      </c>
      <c r="B505" s="46" t="n">
        <v>13</v>
      </c>
      <c r="C505" s="47" t="n">
        <v>40</v>
      </c>
      <c r="D505" s="47" t="n">
        <v>84.17</v>
      </c>
      <c r="E505" s="46" t="str">
        <f>IF(C505&lt;=72.0,"Y","N")</f>
        <v>Y</v>
      </c>
      <c r="F505" s="46">
        <f>IF(E505="Y",D505,"")</f>
        <v>84.17</v>
      </c>
    </row>
    <row r="506">
      <c r="A506" s="46" t="inlineStr">
        <is>
          <t>W11</t>
        </is>
      </c>
      <c r="B506" s="46" t="n">
        <v>14</v>
      </c>
      <c r="C506" s="47" t="n">
        <v>40</v>
      </c>
      <c r="D506" s="47" t="n">
        <v>85.38</v>
      </c>
      <c r="E506" s="46" t="str">
        <f>IF(C506&lt;=72.0,"Y","N")</f>
        <v>Y</v>
      </c>
      <c r="F506" s="46">
        <f>IF(E506="Y",D506,"")</f>
        <v>85.38</v>
      </c>
    </row>
    <row r="507">
      <c r="A507" s="46" t="inlineStr">
        <is>
          <t>W11</t>
        </is>
      </c>
      <c r="B507" s="46" t="n">
        <v>15</v>
      </c>
      <c r="C507" s="47" t="n">
        <v>40</v>
      </c>
      <c r="D507" s="47" t="n">
        <v>84.25</v>
      </c>
      <c r="E507" s="46" t="str">
        <f>IF(C507&lt;=72.0,"Y","N")</f>
        <v>Y</v>
      </c>
      <c r="F507" s="46">
        <f>IF(E507="Y",D507,"")</f>
        <v>84.25</v>
      </c>
    </row>
    <row r="508">
      <c r="A508" s="46" t="inlineStr">
        <is>
          <t>W11</t>
        </is>
      </c>
      <c r="B508" s="46" t="n">
        <v>16</v>
      </c>
      <c r="C508" s="47" t="n">
        <v>40</v>
      </c>
      <c r="D508" s="47" t="n">
        <v>84.23</v>
      </c>
      <c r="E508" s="46" t="str">
        <f>IF(C508&lt;=72.0,"Y","N")</f>
        <v>Y</v>
      </c>
      <c r="F508" s="46">
        <f>IF(E508="Y",D508,"")</f>
        <v>84.23</v>
      </c>
    </row>
    <row r="509">
      <c r="A509" s="46" t="inlineStr">
        <is>
          <t>W11</t>
        </is>
      </c>
      <c r="B509" s="46" t="n">
        <v>17</v>
      </c>
      <c r="C509" s="47" t="n">
        <v>40</v>
      </c>
      <c r="D509" s="47" t="n">
        <v>84.85</v>
      </c>
      <c r="E509" s="46" t="str">
        <f>IF(C509&lt;=72.0,"Y","N")</f>
        <v>Y</v>
      </c>
      <c r="F509" s="46">
        <f>IF(E509="Y",D509,"")</f>
        <v>84.85</v>
      </c>
    </row>
    <row r="510">
      <c r="A510" s="46" t="inlineStr">
        <is>
          <t>W11</t>
        </is>
      </c>
      <c r="B510" s="46" t="n">
        <v>18</v>
      </c>
      <c r="C510" s="47" t="n">
        <v>40</v>
      </c>
      <c r="D510" s="47" t="n">
        <v>84.11</v>
      </c>
      <c r="E510" s="46" t="str">
        <f>IF(C510&lt;=72.0,"Y","N")</f>
        <v>Y</v>
      </c>
      <c r="F510" s="46">
        <f>IF(E510="Y",D510,"")</f>
        <v>84.11</v>
      </c>
    </row>
    <row r="511">
      <c r="A511" s="46" t="inlineStr">
        <is>
          <t>W11</t>
        </is>
      </c>
      <c r="B511" s="46" t="n">
        <v>19</v>
      </c>
      <c r="C511" s="47" t="n">
        <v>40</v>
      </c>
      <c r="D511" s="47" t="n">
        <v>84.33</v>
      </c>
      <c r="E511" s="46" t="str">
        <f>IF(C511&lt;=72.0,"Y","N")</f>
        <v>Y</v>
      </c>
      <c r="F511" s="46">
        <f>IF(E511="Y",D511,"")</f>
        <v>84.33</v>
      </c>
    </row>
    <row r="512">
      <c r="A512" s="46" t="inlineStr">
        <is>
          <t>W11</t>
        </is>
      </c>
      <c r="B512" s="46" t="n">
        <v>20</v>
      </c>
      <c r="C512" s="47" t="n">
        <v>40</v>
      </c>
      <c r="D512" s="47" t="n">
        <v>84.57</v>
      </c>
      <c r="E512" s="46" t="str">
        <f>IF(C512&lt;=72.0,"Y","N")</f>
        <v>Y</v>
      </c>
      <c r="F512" s="46">
        <f>IF(E512="Y",D512,"")</f>
        <v>84.57</v>
      </c>
    </row>
    <row r="513">
      <c r="A513" s="46" t="inlineStr">
        <is>
          <t>W11</t>
        </is>
      </c>
      <c r="B513" s="46" t="n">
        <v>21</v>
      </c>
      <c r="C513" s="47" t="n">
        <v>40</v>
      </c>
      <c r="D513" s="47" t="n">
        <v>84.11</v>
      </c>
      <c r="E513" s="46" t="str">
        <f>IF(C513&lt;=72.0,"Y","N")</f>
        <v>Y</v>
      </c>
      <c r="F513" s="46">
        <f>IF(E513="Y",D513,"")</f>
        <v>84.11</v>
      </c>
    </row>
    <row r="514">
      <c r="A514" s="46" t="inlineStr">
        <is>
          <t>W11</t>
        </is>
      </c>
      <c r="B514" s="46" t="n">
        <v>22</v>
      </c>
      <c r="C514" s="47" t="n">
        <v>58</v>
      </c>
      <c r="D514" s="47" t="n">
        <v>87.58</v>
      </c>
      <c r="E514" s="46" t="str">
        <f>IF(C514&lt;=72.0,"Y","N")</f>
        <v>Y</v>
      </c>
      <c r="F514" s="46">
        <f>IF(E514="Y",D514,"")</f>
        <v>87.58</v>
      </c>
    </row>
    <row r="515">
      <c r="A515" s="46" t="inlineStr">
        <is>
          <t>W11</t>
        </is>
      </c>
      <c r="B515" s="46" t="n">
        <v>23</v>
      </c>
      <c r="C515" s="47" t="n">
        <v>58</v>
      </c>
      <c r="D515" s="47" t="n">
        <v>87.65</v>
      </c>
      <c r="E515" s="46" t="str">
        <f>IF(C515&lt;=72.0,"Y","N")</f>
        <v>Y</v>
      </c>
      <c r="F515" s="46">
        <f>IF(E515="Y",D515,"")</f>
        <v>87.65</v>
      </c>
    </row>
    <row r="516">
      <c r="A516" s="46" t="inlineStr">
        <is>
          <t>W11</t>
        </is>
      </c>
      <c r="B516" s="46" t="n">
        <v>24</v>
      </c>
      <c r="C516" s="47" t="n">
        <v>58</v>
      </c>
      <c r="D516" s="47" t="n">
        <v>88.13</v>
      </c>
      <c r="E516" s="46" t="str">
        <f>IF(C516&lt;=72.0,"Y","N")</f>
        <v>Y</v>
      </c>
      <c r="F516" s="46">
        <f>IF(E516="Y",D516,"")</f>
        <v>88.13</v>
      </c>
    </row>
    <row r="517">
      <c r="A517" s="46" t="inlineStr">
        <is>
          <t>W11</t>
        </is>
      </c>
      <c r="B517" s="46" t="n">
        <v>25</v>
      </c>
      <c r="C517" s="47" t="n">
        <v>58</v>
      </c>
      <c r="D517" s="47" t="n">
        <v>87.16</v>
      </c>
      <c r="E517" s="46" t="str">
        <f>IF(C517&lt;=72.0,"Y","N")</f>
        <v>Y</v>
      </c>
      <c r="F517" s="46">
        <f>IF(E517="Y",D517,"")</f>
        <v>87.16</v>
      </c>
    </row>
    <row r="518">
      <c r="A518" s="46" t="inlineStr">
        <is>
          <t>W11</t>
        </is>
      </c>
      <c r="B518" s="46" t="n">
        <v>26</v>
      </c>
      <c r="C518" s="47" t="n">
        <v>58</v>
      </c>
      <c r="D518" s="47" t="n">
        <v>88.35</v>
      </c>
      <c r="E518" s="46" t="str">
        <f>IF(C518&lt;=72.0,"Y","N")</f>
        <v>Y</v>
      </c>
      <c r="F518" s="46">
        <f>IF(E518="Y",D518,"")</f>
        <v>88.35</v>
      </c>
    </row>
    <row r="519">
      <c r="A519" s="46" t="inlineStr">
        <is>
          <t>W11</t>
        </is>
      </c>
      <c r="B519" s="46" t="n">
        <v>27</v>
      </c>
      <c r="C519" s="47" t="n">
        <v>58</v>
      </c>
      <c r="D519" s="47" t="n">
        <v>88.34</v>
      </c>
      <c r="E519" s="46" t="str">
        <f>IF(C519&lt;=72.0,"Y","N")</f>
        <v>Y</v>
      </c>
      <c r="F519" s="46">
        <f>IF(E519="Y",D519,"")</f>
        <v>88.34</v>
      </c>
    </row>
    <row r="520">
      <c r="A520" s="46" t="inlineStr">
        <is>
          <t>W11</t>
        </is>
      </c>
      <c r="B520" s="46" t="n">
        <v>28</v>
      </c>
      <c r="C520" s="47" t="n">
        <v>58</v>
      </c>
      <c r="D520" s="47" t="n">
        <v>87.88</v>
      </c>
      <c r="E520" s="46" t="str">
        <f>IF(C520&lt;=72.0,"Y","N")</f>
        <v>Y</v>
      </c>
      <c r="F520" s="46">
        <f>IF(E520="Y",D520,"")</f>
        <v>87.88</v>
      </c>
    </row>
    <row r="521">
      <c r="A521" s="46" t="inlineStr">
        <is>
          <t>W11</t>
        </is>
      </c>
      <c r="B521" s="46" t="n">
        <v>29</v>
      </c>
      <c r="C521" s="47" t="n">
        <v>58</v>
      </c>
      <c r="D521" s="47" t="n">
        <v>88.34</v>
      </c>
      <c r="E521" s="46" t="str">
        <f>IF(C521&lt;=72.0,"Y","N")</f>
        <v>Y</v>
      </c>
      <c r="F521" s="46">
        <f>IF(E521="Y",D521,"")</f>
        <v>88.34</v>
      </c>
    </row>
    <row r="522">
      <c r="A522" s="46" t="inlineStr">
        <is>
          <t>W11</t>
        </is>
      </c>
      <c r="B522" s="46" t="n">
        <v>30</v>
      </c>
      <c r="C522" s="47" t="n">
        <v>58</v>
      </c>
      <c r="D522" s="47" t="n">
        <v>87.24</v>
      </c>
      <c r="E522" s="46" t="str">
        <f>IF(C522&lt;=72.0,"Y","N")</f>
        <v>Y</v>
      </c>
      <c r="F522" s="46">
        <f>IF(E522="Y",D522,"")</f>
        <v>87.24</v>
      </c>
    </row>
    <row r="523">
      <c r="A523" s="46" t="inlineStr">
        <is>
          <t>W11</t>
        </is>
      </c>
      <c r="B523" s="46" t="n">
        <v>31</v>
      </c>
      <c r="C523" s="47" t="n">
        <v>58</v>
      </c>
      <c r="D523" s="47" t="n">
        <v>87.86</v>
      </c>
      <c r="E523" s="46" t="str">
        <f>IF(C523&lt;=72.0,"Y","N")</f>
        <v>Y</v>
      </c>
      <c r="F523" s="46">
        <f>IF(E523="Y",D523,"")</f>
        <v>87.86</v>
      </c>
    </row>
    <row r="524">
      <c r="A524" s="46" t="inlineStr">
        <is>
          <t>W11</t>
        </is>
      </c>
      <c r="B524" s="46" t="n">
        <v>32</v>
      </c>
      <c r="C524" s="47" t="n">
        <v>58</v>
      </c>
      <c r="D524" s="47" t="n">
        <v>87.28</v>
      </c>
      <c r="E524" s="46" t="str">
        <f>IF(C524&lt;=72.0,"Y","N")</f>
        <v>Y</v>
      </c>
      <c r="F524" s="46">
        <f>IF(E524="Y",D524,"")</f>
        <v>87.28</v>
      </c>
    </row>
    <row r="525">
      <c r="A525" s="46" t="inlineStr">
        <is>
          <t>W11</t>
        </is>
      </c>
      <c r="B525" s="46" t="n">
        <v>33</v>
      </c>
      <c r="C525" s="47" t="n">
        <v>58</v>
      </c>
      <c r="D525" s="47" t="n">
        <v>87.9</v>
      </c>
      <c r="E525" s="46" t="str">
        <f>IF(C525&lt;=72.0,"Y","N")</f>
        <v>Y</v>
      </c>
      <c r="F525" s="46">
        <f>IF(E525="Y",D525,"")</f>
        <v>87.9</v>
      </c>
    </row>
    <row r="526">
      <c r="A526" s="46" t="inlineStr">
        <is>
          <t>W11</t>
        </is>
      </c>
      <c r="B526" s="46" t="n">
        <v>34</v>
      </c>
      <c r="C526" s="47" t="n">
        <v>73</v>
      </c>
      <c r="D526" s="47" t="n">
        <v>90.95</v>
      </c>
      <c r="E526" s="46" t="str">
        <f>IF(C526&lt;=72.0,"Y","N")</f>
        <v>N</v>
      </c>
      <c r="F526" s="46" t="str">
        <f>IF(E526="Y",D526,"")</f>
        <v/>
      </c>
    </row>
    <row r="527">
      <c r="A527" s="46" t="inlineStr">
        <is>
          <t>W11</t>
        </is>
      </c>
      <c r="B527" s="46" t="n">
        <v>35</v>
      </c>
      <c r="C527" s="47" t="n">
        <v>73</v>
      </c>
      <c r="D527" s="47" t="n">
        <v>91.81</v>
      </c>
      <c r="E527" s="46" t="str">
        <f>IF(C527&lt;=72.0,"Y","N")</f>
        <v>N</v>
      </c>
      <c r="F527" s="46" t="str">
        <f>IF(E527="Y",D527,"")</f>
        <v/>
      </c>
    </row>
    <row r="528">
      <c r="A528" s="46" t="inlineStr">
        <is>
          <t>W11</t>
        </is>
      </c>
      <c r="B528" s="46" t="n">
        <v>36</v>
      </c>
      <c r="C528" s="47" t="n">
        <v>73</v>
      </c>
      <c r="D528" s="47" t="n">
        <v>90.78</v>
      </c>
      <c r="E528" s="46" t="str">
        <f>IF(C528&lt;=72.0,"Y","N")</f>
        <v>N</v>
      </c>
      <c r="F528" s="46" t="str">
        <f>IF(E528="Y",D528,"")</f>
        <v/>
      </c>
    </row>
    <row r="529">
      <c r="A529" s="46" t="inlineStr">
        <is>
          <t>W11</t>
        </is>
      </c>
      <c r="B529" s="46" t="n">
        <v>37</v>
      </c>
      <c r="C529" s="47" t="n">
        <v>73</v>
      </c>
      <c r="D529" s="47" t="n">
        <v>90.7</v>
      </c>
      <c r="E529" s="46" t="str">
        <f>IF(C529&lt;=72.0,"Y","N")</f>
        <v>N</v>
      </c>
      <c r="F529" s="46" t="str">
        <f>IF(E529="Y",D529,"")</f>
        <v/>
      </c>
    </row>
    <row r="530">
      <c r="A530" s="46" t="inlineStr">
        <is>
          <t>W11</t>
        </is>
      </c>
      <c r="B530" s="46" t="n">
        <v>38</v>
      </c>
      <c r="C530" s="47" t="n">
        <v>73</v>
      </c>
      <c r="D530" s="47" t="n">
        <v>92.15</v>
      </c>
      <c r="E530" s="46" t="str">
        <f>IF(C530&lt;=72.0,"Y","N")</f>
        <v>N</v>
      </c>
      <c r="F530" s="46" t="str">
        <f>IF(E530="Y",D530,"")</f>
        <v/>
      </c>
    </row>
    <row r="531">
      <c r="A531" s="46" t="inlineStr">
        <is>
          <t>W11</t>
        </is>
      </c>
      <c r="B531" s="46" t="n">
        <v>39</v>
      </c>
      <c r="C531" s="47" t="n">
        <v>73</v>
      </c>
      <c r="D531" s="47" t="n">
        <v>92.1</v>
      </c>
      <c r="E531" s="46" t="str">
        <f>IF(C531&lt;=72.0,"Y","N")</f>
        <v>N</v>
      </c>
      <c r="F531" s="46" t="str">
        <f>IF(E531="Y",D531,"")</f>
        <v/>
      </c>
    </row>
    <row r="532">
      <c r="A532" s="46" t="inlineStr">
        <is>
          <t>W11</t>
        </is>
      </c>
      <c r="B532" s="46" t="n">
        <v>40</v>
      </c>
      <c r="C532" s="47" t="n">
        <v>73</v>
      </c>
      <c r="D532" s="47" t="n">
        <v>91.48</v>
      </c>
      <c r="E532" s="46" t="str">
        <f>IF(C532&lt;=72.0,"Y","N")</f>
        <v>N</v>
      </c>
      <c r="F532" s="46" t="str">
        <f>IF(E532="Y",D532,"")</f>
        <v/>
      </c>
    </row>
    <row r="533">
      <c r="A533" s="46" t="inlineStr">
        <is>
          <t>W11</t>
        </is>
      </c>
      <c r="B533" s="46" t="n">
        <v>41</v>
      </c>
      <c r="C533" s="47" t="n">
        <v>73</v>
      </c>
      <c r="D533" s="47" t="n">
        <v>91.4</v>
      </c>
      <c r="E533" s="46" t="str">
        <f>IF(C533&lt;=72.0,"Y","N")</f>
        <v>N</v>
      </c>
      <c r="F533" s="46" t="str">
        <f>IF(E533="Y",D533,"")</f>
        <v/>
      </c>
    </row>
    <row r="534">
      <c r="A534" s="46" t="inlineStr">
        <is>
          <t>W11</t>
        </is>
      </c>
      <c r="B534" s="46" t="n">
        <v>42</v>
      </c>
      <c r="C534" s="47" t="n">
        <v>73</v>
      </c>
      <c r="D534" s="47" t="n">
        <v>90.73</v>
      </c>
      <c r="E534" s="46" t="str">
        <f>IF(C534&lt;=72.0,"Y","N")</f>
        <v>N</v>
      </c>
      <c r="F534" s="46" t="str">
        <f>IF(E534="Y",D534,"")</f>
        <v/>
      </c>
    </row>
    <row r="535">
      <c r="A535" s="46" t="inlineStr">
        <is>
          <t>W11</t>
        </is>
      </c>
      <c r="B535" s="46" t="n">
        <v>43</v>
      </c>
      <c r="C535" s="47" t="n">
        <v>73</v>
      </c>
      <c r="D535" s="47" t="n">
        <v>90.62</v>
      </c>
      <c r="E535" s="46" t="str">
        <f>IF(C535&lt;=72.0,"Y","N")</f>
        <v>N</v>
      </c>
      <c r="F535" s="46" t="str">
        <f>IF(E535="Y",D535,"")</f>
        <v/>
      </c>
    </row>
    <row r="536">
      <c r="A536" s="46" t="inlineStr">
        <is>
          <t>W11</t>
        </is>
      </c>
      <c r="B536" s="46" t="n">
        <v>44</v>
      </c>
      <c r="C536" s="47" t="n">
        <v>73</v>
      </c>
      <c r="D536" s="47" t="n">
        <v>92.13</v>
      </c>
      <c r="E536" s="46" t="str">
        <f>IF(C536&lt;=72.0,"Y","N")</f>
        <v>N</v>
      </c>
      <c r="F536" s="46" t="str">
        <f>IF(E536="Y",D536,"")</f>
        <v/>
      </c>
    </row>
    <row r="537">
      <c r="A537" s="46" t="inlineStr">
        <is>
          <t>W11</t>
        </is>
      </c>
      <c r="B537" s="46" t="n">
        <v>45</v>
      </c>
      <c r="C537" s="47" t="n">
        <v>73</v>
      </c>
      <c r="D537" s="47" t="n">
        <v>90.85</v>
      </c>
      <c r="E537" s="46" t="str">
        <f>IF(C537&lt;=72.0,"Y","N")</f>
        <v>N</v>
      </c>
      <c r="F537" s="46" t="str">
        <f>IF(E537="Y",D537,"")</f>
        <v/>
      </c>
    </row>
    <row r="538">
      <c r="A538" s="46" t="inlineStr">
        <is>
          <t>W11</t>
        </is>
      </c>
      <c r="B538" s="46" t="n">
        <v>46</v>
      </c>
      <c r="C538" s="47" t="n">
        <v>73</v>
      </c>
      <c r="D538" s="47" t="n">
        <v>91.91</v>
      </c>
      <c r="E538" s="46" t="str">
        <f>IF(C538&lt;=72.0,"Y","N")</f>
        <v>N</v>
      </c>
      <c r="F538" s="46" t="str">
        <f>IF(E538="Y",D538,"")</f>
        <v/>
      </c>
    </row>
    <row r="539">
      <c r="A539" s="46" t="inlineStr">
        <is>
          <t>W11</t>
        </is>
      </c>
      <c r="B539" s="46" t="n">
        <v>47</v>
      </c>
      <c r="C539" s="47" t="n">
        <v>73</v>
      </c>
      <c r="D539" s="47" t="n">
        <v>91.3</v>
      </c>
      <c r="E539" s="46" t="str">
        <f>IF(C539&lt;=72.0,"Y","N")</f>
        <v>N</v>
      </c>
      <c r="F539" s="46" t="str">
        <f>IF(E539="Y",D539,"")</f>
        <v/>
      </c>
    </row>
    <row r="540">
      <c r="A540" s="46" t="inlineStr">
        <is>
          <t>W11</t>
        </is>
      </c>
      <c r="B540" s="46" t="n">
        <v>48</v>
      </c>
      <c r="C540" s="47" t="n">
        <v>73</v>
      </c>
      <c r="D540" s="47" t="n">
        <v>91.8</v>
      </c>
      <c r="E540" s="46" t="str">
        <f>IF(C540&lt;=72.0,"Y","N")</f>
        <v>N</v>
      </c>
      <c r="F540" s="46" t="str">
        <f>IF(E540="Y",D540,"")</f>
        <v/>
      </c>
    </row>
    <row r="541">
      <c r="A541" s="46" t="inlineStr">
        <is>
          <t>W11</t>
        </is>
      </c>
      <c r="B541" s="46" t="n">
        <v>49</v>
      </c>
      <c r="C541" s="47" t="n">
        <v>73</v>
      </c>
      <c r="D541" s="47" t="n">
        <v>90.67</v>
      </c>
      <c r="E541" s="46" t="str">
        <f>IF(C541&lt;=72.0,"Y","N")</f>
        <v>N</v>
      </c>
      <c r="F541" s="46" t="str">
        <f>IF(E541="Y",D541,"")</f>
        <v/>
      </c>
    </row>
    <row r="542">
      <c r="A542" s="46" t="inlineStr">
        <is>
          <t>W12</t>
        </is>
      </c>
      <c r="B542" s="46" t="n">
        <v>1</v>
      </c>
      <c r="C542" s="47" t="n">
        <v>0</v>
      </c>
      <c r="D542" s="47" t="n">
        <v>81.33</v>
      </c>
      <c r="E542" s="46" t="str">
        <f>IF(C542&lt;=72.0,"Y","N")</f>
        <v>Y</v>
      </c>
      <c r="F542" s="46">
        <f>IF(E542="Y",D542,"")</f>
        <v>81.33</v>
      </c>
    </row>
    <row r="543">
      <c r="A543" s="46" t="inlineStr">
        <is>
          <t>W12</t>
        </is>
      </c>
      <c r="B543" s="46" t="n">
        <v>2</v>
      </c>
      <c r="C543" s="47" t="n">
        <v>22</v>
      </c>
      <c r="D543" s="47" t="n">
        <v>82.87</v>
      </c>
      <c r="E543" s="46" t="str">
        <f>IF(C543&lt;=72.0,"Y","N")</f>
        <v>Y</v>
      </c>
      <c r="F543" s="46">
        <f>IF(E543="Y",D543,"")</f>
        <v>82.87</v>
      </c>
    </row>
    <row r="544">
      <c r="A544" s="46" t="inlineStr">
        <is>
          <t>W12</t>
        </is>
      </c>
      <c r="B544" s="46" t="n">
        <v>3</v>
      </c>
      <c r="C544" s="47" t="n">
        <v>22</v>
      </c>
      <c r="D544" s="47" t="n">
        <v>83.17</v>
      </c>
      <c r="E544" s="46" t="str">
        <f>IF(C544&lt;=72.0,"Y","N")</f>
        <v>Y</v>
      </c>
      <c r="F544" s="46">
        <f>IF(E544="Y",D544,"")</f>
        <v>83.17</v>
      </c>
    </row>
    <row r="545">
      <c r="A545" s="46" t="inlineStr">
        <is>
          <t>W12</t>
        </is>
      </c>
      <c r="B545" s="46" t="n">
        <v>4</v>
      </c>
      <c r="C545" s="47" t="n">
        <v>22</v>
      </c>
      <c r="D545" s="47" t="n">
        <v>81.89</v>
      </c>
      <c r="E545" s="46" t="str">
        <f>IF(C545&lt;=72.0,"Y","N")</f>
        <v>Y</v>
      </c>
      <c r="F545" s="46">
        <f>IF(E545="Y",D545,"")</f>
        <v>81.89</v>
      </c>
    </row>
    <row r="546">
      <c r="A546" s="46" t="inlineStr">
        <is>
          <t>W12</t>
        </is>
      </c>
      <c r="B546" s="46" t="n">
        <v>5</v>
      </c>
      <c r="C546" s="47" t="n">
        <v>22</v>
      </c>
      <c r="D546" s="47" t="n">
        <v>83.4</v>
      </c>
      <c r="E546" s="46" t="str">
        <f>IF(C546&lt;=72.0,"Y","N")</f>
        <v>Y</v>
      </c>
      <c r="F546" s="46">
        <f>IF(E546="Y",D546,"")</f>
        <v>83.4</v>
      </c>
    </row>
    <row r="547">
      <c r="A547" s="46" t="inlineStr">
        <is>
          <t>W12</t>
        </is>
      </c>
      <c r="B547" s="46" t="n">
        <v>6</v>
      </c>
      <c r="C547" s="47" t="n">
        <v>22</v>
      </c>
      <c r="D547" s="47" t="n">
        <v>83.37</v>
      </c>
      <c r="E547" s="46" t="str">
        <f>IF(C547&lt;=72.0,"Y","N")</f>
        <v>Y</v>
      </c>
      <c r="F547" s="46">
        <f>IF(E547="Y",D547,"")</f>
        <v>83.37</v>
      </c>
    </row>
    <row r="548">
      <c r="A548" s="46" t="inlineStr">
        <is>
          <t>W12</t>
        </is>
      </c>
      <c r="B548" s="46" t="n">
        <v>7</v>
      </c>
      <c r="C548" s="47" t="n">
        <v>22</v>
      </c>
      <c r="D548" s="47" t="n">
        <v>83.19</v>
      </c>
      <c r="E548" s="46" t="str">
        <f>IF(C548&lt;=72.0,"Y","N")</f>
        <v>Y</v>
      </c>
      <c r="F548" s="46">
        <f>IF(E548="Y",D548,"")</f>
        <v>83.19</v>
      </c>
    </row>
    <row r="549">
      <c r="A549" s="46" t="inlineStr">
        <is>
          <t>W12</t>
        </is>
      </c>
      <c r="B549" s="46" t="n">
        <v>8</v>
      </c>
      <c r="C549" s="47" t="n">
        <v>22</v>
      </c>
      <c r="D549" s="47" t="n">
        <v>82.77</v>
      </c>
      <c r="E549" s="46" t="str">
        <f>IF(C549&lt;=72.0,"Y","N")</f>
        <v>Y</v>
      </c>
      <c r="F549" s="46">
        <f>IF(E549="Y",D549,"")</f>
        <v>82.77</v>
      </c>
    </row>
    <row r="550">
      <c r="A550" s="46" t="inlineStr">
        <is>
          <t>W12</t>
        </is>
      </c>
      <c r="B550" s="46" t="n">
        <v>9</v>
      </c>
      <c r="C550" s="47" t="n">
        <v>22</v>
      </c>
      <c r="D550" s="47" t="n">
        <v>83.27</v>
      </c>
      <c r="E550" s="46" t="str">
        <f>IF(C550&lt;=72.0,"Y","N")</f>
        <v>Y</v>
      </c>
      <c r="F550" s="46">
        <f>IF(E550="Y",D550,"")</f>
        <v>83.27</v>
      </c>
    </row>
    <row r="551">
      <c r="A551" s="46" t="inlineStr">
        <is>
          <t>W12</t>
        </is>
      </c>
      <c r="B551" s="46" t="n">
        <v>10</v>
      </c>
      <c r="C551" s="47" t="n">
        <v>40</v>
      </c>
      <c r="D551" s="47" t="n">
        <v>83.94</v>
      </c>
      <c r="E551" s="46" t="str">
        <f>IF(C551&lt;=72.0,"Y","N")</f>
        <v>Y</v>
      </c>
      <c r="F551" s="46">
        <f>IF(E551="Y",D551,"")</f>
        <v>83.94</v>
      </c>
    </row>
    <row r="552">
      <c r="A552" s="46" t="inlineStr">
        <is>
          <t>W12</t>
        </is>
      </c>
      <c r="B552" s="46" t="n">
        <v>11</v>
      </c>
      <c r="C552" s="47" t="n">
        <v>40</v>
      </c>
      <c r="D552" s="47" t="n">
        <v>84.76</v>
      </c>
      <c r="E552" s="46" t="str">
        <f>IF(C552&lt;=72.0,"Y","N")</f>
        <v>Y</v>
      </c>
      <c r="F552" s="46">
        <f>IF(E552="Y",D552,"")</f>
        <v>84.76</v>
      </c>
    </row>
    <row r="553">
      <c r="A553" s="46" t="inlineStr">
        <is>
          <t>W12</t>
        </is>
      </c>
      <c r="B553" s="46" t="n">
        <v>12</v>
      </c>
      <c r="C553" s="47" t="n">
        <v>40</v>
      </c>
      <c r="D553" s="47" t="n">
        <v>84.36</v>
      </c>
      <c r="E553" s="46" t="str">
        <f>IF(C553&lt;=72.0,"Y","N")</f>
        <v>Y</v>
      </c>
      <c r="F553" s="46">
        <f>IF(E553="Y",D553,"")</f>
        <v>84.36</v>
      </c>
    </row>
    <row r="554">
      <c r="A554" s="46" t="inlineStr">
        <is>
          <t>W12</t>
        </is>
      </c>
      <c r="B554" s="46" t="n">
        <v>13</v>
      </c>
      <c r="C554" s="47" t="n">
        <v>40</v>
      </c>
      <c r="D554" s="47" t="n">
        <v>84.98</v>
      </c>
      <c r="E554" s="46" t="str">
        <f>IF(C554&lt;=72.0,"Y","N")</f>
        <v>Y</v>
      </c>
      <c r="F554" s="46">
        <f>IF(E554="Y",D554,"")</f>
        <v>84.98</v>
      </c>
    </row>
    <row r="555">
      <c r="A555" s="46" t="inlineStr">
        <is>
          <t>W12</t>
        </is>
      </c>
      <c r="B555" s="46" t="n">
        <v>14</v>
      </c>
      <c r="C555" s="47" t="n">
        <v>40</v>
      </c>
      <c r="D555" s="47" t="n">
        <v>84.65</v>
      </c>
      <c r="E555" s="46" t="str">
        <f>IF(C555&lt;=72.0,"Y","N")</f>
        <v>Y</v>
      </c>
      <c r="F555" s="46">
        <f>IF(E555="Y",D555,"")</f>
        <v>84.65</v>
      </c>
    </row>
    <row r="556">
      <c r="A556" s="46" t="inlineStr">
        <is>
          <t>W12</t>
        </is>
      </c>
      <c r="B556" s="46" t="n">
        <v>15</v>
      </c>
      <c r="C556" s="47" t="n">
        <v>40</v>
      </c>
      <c r="D556" s="47" t="n">
        <v>85.3</v>
      </c>
      <c r="E556" s="46" t="str">
        <f>IF(C556&lt;=72.0,"Y","N")</f>
        <v>Y</v>
      </c>
      <c r="F556" s="46">
        <f>IF(E556="Y",D556,"")</f>
        <v>85.3</v>
      </c>
    </row>
    <row r="557">
      <c r="A557" s="46" t="inlineStr">
        <is>
          <t>W12</t>
        </is>
      </c>
      <c r="B557" s="46" t="n">
        <v>16</v>
      </c>
      <c r="C557" s="47" t="n">
        <v>40</v>
      </c>
      <c r="D557" s="47" t="n">
        <v>85.36</v>
      </c>
      <c r="E557" s="46" t="str">
        <f>IF(C557&lt;=72.0,"Y","N")</f>
        <v>Y</v>
      </c>
      <c r="F557" s="46">
        <f>IF(E557="Y",D557,"")</f>
        <v>85.36</v>
      </c>
    </row>
    <row r="558">
      <c r="A558" s="46" t="inlineStr">
        <is>
          <t>W12</t>
        </is>
      </c>
      <c r="B558" s="46" t="n">
        <v>17</v>
      </c>
      <c r="C558" s="47" t="n">
        <v>40</v>
      </c>
      <c r="D558" s="47" t="n">
        <v>85</v>
      </c>
      <c r="E558" s="46" t="str">
        <f>IF(C558&lt;=72.0,"Y","N")</f>
        <v>Y</v>
      </c>
      <c r="F558" s="46">
        <f>IF(E558="Y",D558,"")</f>
        <v>85</v>
      </c>
    </row>
    <row r="559">
      <c r="A559" s="46" t="inlineStr">
        <is>
          <t>W12</t>
        </is>
      </c>
      <c r="B559" s="46" t="n">
        <v>18</v>
      </c>
      <c r="C559" s="47" t="n">
        <v>40</v>
      </c>
      <c r="D559" s="47" t="n">
        <v>84.87</v>
      </c>
      <c r="E559" s="46" t="str">
        <f>IF(C559&lt;=72.0,"Y","N")</f>
        <v>Y</v>
      </c>
      <c r="F559" s="46">
        <f>IF(E559="Y",D559,"")</f>
        <v>84.87</v>
      </c>
    </row>
    <row r="560">
      <c r="A560" s="46" t="inlineStr">
        <is>
          <t>W12</t>
        </is>
      </c>
      <c r="B560" s="46" t="n">
        <v>19</v>
      </c>
      <c r="C560" s="47" t="n">
        <v>40</v>
      </c>
      <c r="D560" s="47" t="n">
        <v>85.37</v>
      </c>
      <c r="E560" s="46" t="str">
        <f>IF(C560&lt;=72.0,"Y","N")</f>
        <v>Y</v>
      </c>
      <c r="F560" s="46">
        <f>IF(E560="Y",D560,"")</f>
        <v>85.37</v>
      </c>
    </row>
    <row r="561">
      <c r="A561" s="46" t="inlineStr">
        <is>
          <t>W12</t>
        </is>
      </c>
      <c r="B561" s="46" t="n">
        <v>20</v>
      </c>
      <c r="C561" s="47" t="n">
        <v>40</v>
      </c>
      <c r="D561" s="47" t="n">
        <v>84.6</v>
      </c>
      <c r="E561" s="46" t="str">
        <f>IF(C561&lt;=72.0,"Y","N")</f>
        <v>Y</v>
      </c>
      <c r="F561" s="46">
        <f>IF(E561="Y",D561,"")</f>
        <v>84.6</v>
      </c>
    </row>
    <row r="562">
      <c r="A562" s="46" t="inlineStr">
        <is>
          <t>W12</t>
        </is>
      </c>
      <c r="B562" s="46" t="n">
        <v>21</v>
      </c>
      <c r="C562" s="47" t="n">
        <v>40</v>
      </c>
      <c r="D562" s="47" t="n">
        <v>83.87</v>
      </c>
      <c r="E562" s="46" t="str">
        <f>IF(C562&lt;=72.0,"Y","N")</f>
        <v>Y</v>
      </c>
      <c r="F562" s="46">
        <f>IF(E562="Y",D562,"")</f>
        <v>83.87</v>
      </c>
    </row>
    <row r="563">
      <c r="A563" s="46" t="inlineStr">
        <is>
          <t>W12</t>
        </is>
      </c>
      <c r="B563" s="46" t="n">
        <v>22</v>
      </c>
      <c r="C563" s="47" t="n">
        <v>58</v>
      </c>
      <c r="D563" s="47" t="n">
        <v>87.51</v>
      </c>
      <c r="E563" s="46" t="str">
        <f>IF(C563&lt;=72.0,"Y","N")</f>
        <v>Y</v>
      </c>
      <c r="F563" s="46">
        <f>IF(E563="Y",D563,"")</f>
        <v>87.51</v>
      </c>
    </row>
    <row r="564">
      <c r="A564" s="46" t="inlineStr">
        <is>
          <t>W12</t>
        </is>
      </c>
      <c r="B564" s="46" t="n">
        <v>23</v>
      </c>
      <c r="C564" s="47" t="n">
        <v>58</v>
      </c>
      <c r="D564" s="47" t="n">
        <v>87.46</v>
      </c>
      <c r="E564" s="46" t="str">
        <f>IF(C564&lt;=72.0,"Y","N")</f>
        <v>Y</v>
      </c>
      <c r="F564" s="46">
        <f>IF(E564="Y",D564,"")</f>
        <v>87.46</v>
      </c>
    </row>
    <row r="565">
      <c r="A565" s="46" t="inlineStr">
        <is>
          <t>W12</t>
        </is>
      </c>
      <c r="B565" s="46" t="n">
        <v>24</v>
      </c>
      <c r="C565" s="47" t="n">
        <v>58</v>
      </c>
      <c r="D565" s="47" t="n">
        <v>88.31</v>
      </c>
      <c r="E565" s="46" t="str">
        <f>IF(C565&lt;=72.0,"Y","N")</f>
        <v>Y</v>
      </c>
      <c r="F565" s="46">
        <f>IF(E565="Y",D565,"")</f>
        <v>88.31</v>
      </c>
    </row>
    <row r="566">
      <c r="A566" s="46" t="inlineStr">
        <is>
          <t>W12</t>
        </is>
      </c>
      <c r="B566" s="46" t="n">
        <v>25</v>
      </c>
      <c r="C566" s="47" t="n">
        <v>58</v>
      </c>
      <c r="D566" s="47" t="n">
        <v>88.41</v>
      </c>
      <c r="E566" s="46" t="str">
        <f>IF(C566&lt;=72.0,"Y","N")</f>
        <v>Y</v>
      </c>
      <c r="F566" s="46">
        <f>IF(E566="Y",D566,"")</f>
        <v>88.41</v>
      </c>
    </row>
    <row r="567">
      <c r="A567" s="46" t="inlineStr">
        <is>
          <t>W12</t>
        </is>
      </c>
      <c r="B567" s="46" t="n">
        <v>26</v>
      </c>
      <c r="C567" s="47" t="n">
        <v>58</v>
      </c>
      <c r="D567" s="47" t="n">
        <v>87.89</v>
      </c>
      <c r="E567" s="46" t="str">
        <f>IF(C567&lt;=72.0,"Y","N")</f>
        <v>Y</v>
      </c>
      <c r="F567" s="46">
        <f>IF(E567="Y",D567,"")</f>
        <v>87.89</v>
      </c>
    </row>
    <row r="568">
      <c r="A568" s="46" t="inlineStr">
        <is>
          <t>W12</t>
        </is>
      </c>
      <c r="B568" s="46" t="n">
        <v>27</v>
      </c>
      <c r="C568" s="47" t="n">
        <v>58</v>
      </c>
      <c r="D568" s="47" t="n">
        <v>88.03</v>
      </c>
      <c r="E568" s="46" t="str">
        <f>IF(C568&lt;=72.0,"Y","N")</f>
        <v>Y</v>
      </c>
      <c r="F568" s="46">
        <f>IF(E568="Y",D568,"")</f>
        <v>88.03</v>
      </c>
    </row>
    <row r="569">
      <c r="A569" s="46" t="inlineStr">
        <is>
          <t>W12</t>
        </is>
      </c>
      <c r="B569" s="46" t="n">
        <v>28</v>
      </c>
      <c r="C569" s="47" t="n">
        <v>58</v>
      </c>
      <c r="D569" s="47" t="n">
        <v>87.31</v>
      </c>
      <c r="E569" s="46" t="str">
        <f>IF(C569&lt;=72.0,"Y","N")</f>
        <v>Y</v>
      </c>
      <c r="F569" s="46">
        <f>IF(E569="Y",D569,"")</f>
        <v>87.31</v>
      </c>
    </row>
    <row r="570">
      <c r="A570" s="46" t="inlineStr">
        <is>
          <t>W12</t>
        </is>
      </c>
      <c r="B570" s="46" t="n">
        <v>29</v>
      </c>
      <c r="C570" s="47" t="n">
        <v>58</v>
      </c>
      <c r="D570" s="47" t="n">
        <v>87.22</v>
      </c>
      <c r="E570" s="46" t="str">
        <f>IF(C570&lt;=72.0,"Y","N")</f>
        <v>Y</v>
      </c>
      <c r="F570" s="46">
        <f>IF(E570="Y",D570,"")</f>
        <v>87.22</v>
      </c>
    </row>
    <row r="571">
      <c r="A571" s="46" t="inlineStr">
        <is>
          <t>W12</t>
        </is>
      </c>
      <c r="B571" s="46" t="n">
        <v>30</v>
      </c>
      <c r="C571" s="47" t="n">
        <v>58</v>
      </c>
      <c r="D571" s="47" t="n">
        <v>87.49</v>
      </c>
      <c r="E571" s="46" t="str">
        <f>IF(C571&lt;=72.0,"Y","N")</f>
        <v>Y</v>
      </c>
      <c r="F571" s="46">
        <f>IF(E571="Y",D571,"")</f>
        <v>87.49</v>
      </c>
    </row>
    <row r="572">
      <c r="A572" s="46" t="inlineStr">
        <is>
          <t>W12</t>
        </is>
      </c>
      <c r="B572" s="46" t="n">
        <v>31</v>
      </c>
      <c r="C572" s="47" t="n">
        <v>58</v>
      </c>
      <c r="D572" s="47" t="n">
        <v>88.42</v>
      </c>
      <c r="E572" s="46" t="str">
        <f>IF(C572&lt;=72.0,"Y","N")</f>
        <v>Y</v>
      </c>
      <c r="F572" s="46">
        <f>IF(E572="Y",D572,"")</f>
        <v>88.42</v>
      </c>
    </row>
    <row r="573">
      <c r="A573" s="46" t="inlineStr">
        <is>
          <t>W12</t>
        </is>
      </c>
      <c r="B573" s="46" t="n">
        <v>32</v>
      </c>
      <c r="C573" s="47" t="n">
        <v>58</v>
      </c>
      <c r="D573" s="47" t="n">
        <v>87.09</v>
      </c>
      <c r="E573" s="46" t="str">
        <f>IF(C573&lt;=72.0,"Y","N")</f>
        <v>Y</v>
      </c>
      <c r="F573" s="46">
        <f>IF(E573="Y",D573,"")</f>
        <v>87.09</v>
      </c>
    </row>
    <row r="574">
      <c r="A574" s="46" t="inlineStr">
        <is>
          <t>W12</t>
        </is>
      </c>
      <c r="B574" s="46" t="n">
        <v>33</v>
      </c>
      <c r="C574" s="47" t="n">
        <v>58</v>
      </c>
      <c r="D574" s="47" t="n">
        <v>87.99</v>
      </c>
      <c r="E574" s="46" t="str">
        <f>IF(C574&lt;=72.0,"Y","N")</f>
        <v>Y</v>
      </c>
      <c r="F574" s="46">
        <f>IF(E574="Y",D574,"")</f>
        <v>87.99</v>
      </c>
    </row>
    <row r="575">
      <c r="A575" s="46" t="inlineStr">
        <is>
          <t>W12</t>
        </is>
      </c>
      <c r="B575" s="46" t="n">
        <v>34</v>
      </c>
      <c r="C575" s="47" t="n">
        <v>73</v>
      </c>
      <c r="D575" s="47" t="n">
        <v>90.96</v>
      </c>
      <c r="E575" s="46" t="str">
        <f>IF(C575&lt;=72.0,"Y","N")</f>
        <v>N</v>
      </c>
      <c r="F575" s="46" t="str">
        <f>IF(E575="Y",D575,"")</f>
        <v/>
      </c>
    </row>
    <row r="576">
      <c r="A576" s="46" t="inlineStr">
        <is>
          <t>W12</t>
        </is>
      </c>
      <c r="B576" s="46" t="n">
        <v>35</v>
      </c>
      <c r="C576" s="47" t="n">
        <v>73</v>
      </c>
      <c r="D576" s="47" t="n">
        <v>90.68</v>
      </c>
      <c r="E576" s="46" t="str">
        <f>IF(C576&lt;=72.0,"Y","N")</f>
        <v>N</v>
      </c>
      <c r="F576" s="46" t="str">
        <f>IF(E576="Y",D576,"")</f>
        <v/>
      </c>
    </row>
    <row r="577">
      <c r="A577" s="46" t="inlineStr">
        <is>
          <t>W12</t>
        </is>
      </c>
      <c r="B577" s="46" t="n">
        <v>36</v>
      </c>
      <c r="C577" s="47" t="n">
        <v>73</v>
      </c>
      <c r="D577" s="47" t="n">
        <v>91.25</v>
      </c>
      <c r="E577" s="46" t="str">
        <f>IF(C577&lt;=72.0,"Y","N")</f>
        <v>N</v>
      </c>
      <c r="F577" s="46" t="str">
        <f>IF(E577="Y",D577,"")</f>
        <v/>
      </c>
    </row>
    <row r="578">
      <c r="A578" s="46" t="inlineStr">
        <is>
          <t>W12</t>
        </is>
      </c>
      <c r="B578" s="46" t="n">
        <v>37</v>
      </c>
      <c r="C578" s="47" t="n">
        <v>73</v>
      </c>
      <c r="D578" s="47" t="n">
        <v>91.73</v>
      </c>
      <c r="E578" s="46" t="str">
        <f>IF(C578&lt;=72.0,"Y","N")</f>
        <v>N</v>
      </c>
      <c r="F578" s="46" t="str">
        <f>IF(E578="Y",D578,"")</f>
        <v/>
      </c>
    </row>
    <row r="579">
      <c r="A579" s="46" t="inlineStr">
        <is>
          <t>W12</t>
        </is>
      </c>
      <c r="B579" s="46" t="n">
        <v>38</v>
      </c>
      <c r="C579" s="47" t="n">
        <v>73</v>
      </c>
      <c r="D579" s="47" t="n">
        <v>91.06</v>
      </c>
      <c r="E579" s="46" t="str">
        <f>IF(C579&lt;=72.0,"Y","N")</f>
        <v>N</v>
      </c>
      <c r="F579" s="46" t="str">
        <f>IF(E579="Y",D579,"")</f>
        <v/>
      </c>
    </row>
    <row r="580">
      <c r="A580" s="46" t="inlineStr">
        <is>
          <t>W12</t>
        </is>
      </c>
      <c r="B580" s="46" t="n">
        <v>39</v>
      </c>
      <c r="C580" s="47" t="n">
        <v>73</v>
      </c>
      <c r="D580" s="47" t="n">
        <v>91.33</v>
      </c>
      <c r="E580" s="46" t="str">
        <f>IF(C580&lt;=72.0,"Y","N")</f>
        <v>N</v>
      </c>
      <c r="F580" s="46" t="str">
        <f>IF(E580="Y",D580,"")</f>
        <v/>
      </c>
    </row>
    <row r="581">
      <c r="A581" s="46" t="inlineStr">
        <is>
          <t>W12</t>
        </is>
      </c>
      <c r="B581" s="46" t="n">
        <v>40</v>
      </c>
      <c r="C581" s="47" t="n">
        <v>73</v>
      </c>
      <c r="D581" s="47" t="n">
        <v>90.71</v>
      </c>
      <c r="E581" s="46" t="str">
        <f>IF(C581&lt;=72.0,"Y","N")</f>
        <v>N</v>
      </c>
      <c r="F581" s="46" t="str">
        <f>IF(E581="Y",D581,"")</f>
        <v/>
      </c>
    </row>
    <row r="582">
      <c r="A582" s="46" t="inlineStr">
        <is>
          <t>W12</t>
        </is>
      </c>
      <c r="B582" s="46" t="n">
        <v>41</v>
      </c>
      <c r="C582" s="47" t="n">
        <v>73</v>
      </c>
      <c r="D582" s="47" t="n">
        <v>91.65</v>
      </c>
      <c r="E582" s="46" t="str">
        <f>IF(C582&lt;=72.0,"Y","N")</f>
        <v>N</v>
      </c>
      <c r="F582" s="46" t="str">
        <f>IF(E582="Y",D582,"")</f>
        <v/>
      </c>
    </row>
    <row r="583">
      <c r="A583" s="46" t="inlineStr">
        <is>
          <t>W12</t>
        </is>
      </c>
      <c r="B583" s="46" t="n">
        <v>42</v>
      </c>
      <c r="C583" s="47" t="n">
        <v>73</v>
      </c>
      <c r="D583" s="47" t="n">
        <v>90.56</v>
      </c>
      <c r="E583" s="46" t="str">
        <f>IF(C583&lt;=72.0,"Y","N")</f>
        <v>N</v>
      </c>
      <c r="F583" s="46" t="str">
        <f>IF(E583="Y",D583,"")</f>
        <v/>
      </c>
    </row>
    <row r="584">
      <c r="A584" s="46" t="inlineStr">
        <is>
          <t>W12</t>
        </is>
      </c>
      <c r="B584" s="46" t="n">
        <v>43</v>
      </c>
      <c r="C584" s="47" t="n">
        <v>73</v>
      </c>
      <c r="D584" s="47" t="n">
        <v>91.2</v>
      </c>
      <c r="E584" s="46" t="str">
        <f>IF(C584&lt;=72.0,"Y","N")</f>
        <v>N</v>
      </c>
      <c r="F584" s="46" t="str">
        <f>IF(E584="Y",D584,"")</f>
        <v/>
      </c>
    </row>
    <row r="585">
      <c r="A585" s="46" t="inlineStr">
        <is>
          <t>W12</t>
        </is>
      </c>
      <c r="B585" s="46" t="n">
        <v>44</v>
      </c>
      <c r="C585" s="47" t="n">
        <v>73</v>
      </c>
      <c r="D585" s="47" t="n">
        <v>91.65</v>
      </c>
      <c r="E585" s="46" t="str">
        <f>IF(C585&lt;=72.0,"Y","N")</f>
        <v>N</v>
      </c>
      <c r="F585" s="46" t="str">
        <f>IF(E585="Y",D585,"")</f>
        <v/>
      </c>
    </row>
    <row r="586">
      <c r="A586" s="46" t="inlineStr">
        <is>
          <t>W12</t>
        </is>
      </c>
      <c r="B586" s="46" t="n">
        <v>45</v>
      </c>
      <c r="C586" s="47" t="n">
        <v>73</v>
      </c>
      <c r="D586" s="47" t="n">
        <v>91.7</v>
      </c>
      <c r="E586" s="46" t="str">
        <f>IF(C586&lt;=72.0,"Y","N")</f>
        <v>N</v>
      </c>
      <c r="F586" s="46" t="str">
        <f>IF(E586="Y",D586,"")</f>
        <v/>
      </c>
    </row>
    <row r="587">
      <c r="A587" s="46" t="inlineStr">
        <is>
          <t>W12</t>
        </is>
      </c>
      <c r="B587" s="46" t="n">
        <v>46</v>
      </c>
      <c r="C587" s="47" t="n">
        <v>73</v>
      </c>
      <c r="D587" s="47" t="n">
        <v>90.57</v>
      </c>
      <c r="E587" s="46" t="str">
        <f>IF(C587&lt;=72.0,"Y","N")</f>
        <v>N</v>
      </c>
      <c r="F587" s="46" t="str">
        <f>IF(E587="Y",D587,"")</f>
        <v/>
      </c>
    </row>
    <row r="588">
      <c r="A588" s="46" t="inlineStr">
        <is>
          <t>W12</t>
        </is>
      </c>
      <c r="B588" s="46" t="n">
        <v>47</v>
      </c>
      <c r="C588" s="47" t="n">
        <v>73</v>
      </c>
      <c r="D588" s="47" t="n">
        <v>91.41</v>
      </c>
      <c r="E588" s="46" t="str">
        <f>IF(C588&lt;=72.0,"Y","N")</f>
        <v>N</v>
      </c>
      <c r="F588" s="46" t="str">
        <f>IF(E588="Y",D588,"")</f>
        <v/>
      </c>
    </row>
    <row r="589">
      <c r="A589" s="46" t="inlineStr">
        <is>
          <t>W12</t>
        </is>
      </c>
      <c r="B589" s="46" t="n">
        <v>48</v>
      </c>
      <c r="C589" s="47" t="n">
        <v>73</v>
      </c>
      <c r="D589" s="47" t="n">
        <v>92.05</v>
      </c>
      <c r="E589" s="46" t="str">
        <f>IF(C589&lt;=72.0,"Y","N")</f>
        <v>N</v>
      </c>
      <c r="F589" s="46" t="str">
        <f>IF(E589="Y",D589,"")</f>
        <v/>
      </c>
    </row>
    <row r="590">
      <c r="A590" s="46" t="inlineStr">
        <is>
          <t>W12</t>
        </is>
      </c>
      <c r="B590" s="46" t="n">
        <v>49</v>
      </c>
      <c r="C590" s="47" t="n">
        <v>73</v>
      </c>
      <c r="D590" s="47" t="n">
        <v>91.13</v>
      </c>
      <c r="E590" s="46" t="str">
        <f>IF(C590&lt;=72.0,"Y","N")</f>
        <v>N</v>
      </c>
      <c r="F590" s="46" t="str">
        <f>IF(E590="Y",D590,"")</f>
        <v/>
      </c>
    </row>
    <row r="591">
      <c r="A591" s="46" t="inlineStr">
        <is>
          <t>W13</t>
        </is>
      </c>
      <c r="B591" s="46" t="n">
        <v>1</v>
      </c>
      <c r="C591" s="47" t="n">
        <v>0</v>
      </c>
      <c r="D591" s="47" t="n">
        <v>83.07</v>
      </c>
      <c r="E591" s="46" t="str">
        <f>IF(C591&lt;=72.0,"Y","N")</f>
        <v>Y</v>
      </c>
      <c r="F591" s="46">
        <f>IF(E591="Y",D591,"")</f>
        <v>83.07</v>
      </c>
    </row>
    <row r="592">
      <c r="A592" s="46" t="inlineStr">
        <is>
          <t>W13</t>
        </is>
      </c>
      <c r="B592" s="46" t="n">
        <v>2</v>
      </c>
      <c r="C592" s="47" t="n">
        <v>22</v>
      </c>
      <c r="D592" s="47" t="n">
        <v>84.56</v>
      </c>
      <c r="E592" s="46" t="str">
        <f>IF(C592&lt;=72.0,"Y","N")</f>
        <v>Y</v>
      </c>
      <c r="F592" s="46">
        <f>IF(E592="Y",D592,"")</f>
        <v>84.56</v>
      </c>
    </row>
    <row r="593">
      <c r="A593" s="46" t="inlineStr">
        <is>
          <t>W13</t>
        </is>
      </c>
      <c r="B593" s="46" t="n">
        <v>3</v>
      </c>
      <c r="C593" s="47" t="n">
        <v>22</v>
      </c>
      <c r="D593" s="47" t="n">
        <v>84.01</v>
      </c>
      <c r="E593" s="46" t="str">
        <f>IF(C593&lt;=72.0,"Y","N")</f>
        <v>Y</v>
      </c>
      <c r="F593" s="46">
        <f>IF(E593="Y",D593,"")</f>
        <v>84.01</v>
      </c>
    </row>
    <row r="594">
      <c r="A594" s="46" t="inlineStr">
        <is>
          <t>W13</t>
        </is>
      </c>
      <c r="B594" s="46" t="n">
        <v>4</v>
      </c>
      <c r="C594" s="47" t="n">
        <v>22</v>
      </c>
      <c r="D594" s="47" t="n">
        <v>84.48</v>
      </c>
      <c r="E594" s="46" t="str">
        <f>IF(C594&lt;=72.0,"Y","N")</f>
        <v>Y</v>
      </c>
      <c r="F594" s="46">
        <f>IF(E594="Y",D594,"")</f>
        <v>84.48</v>
      </c>
    </row>
    <row r="595">
      <c r="A595" s="46" t="inlineStr">
        <is>
          <t>W13</t>
        </is>
      </c>
      <c r="B595" s="46" t="n">
        <v>5</v>
      </c>
      <c r="C595" s="47" t="n">
        <v>22</v>
      </c>
      <c r="D595" s="47" t="n">
        <v>83.84</v>
      </c>
      <c r="E595" s="46" t="str">
        <f>IF(C595&lt;=72.0,"Y","N")</f>
        <v>Y</v>
      </c>
      <c r="F595" s="46">
        <f>IF(E595="Y",D595,"")</f>
        <v>83.84</v>
      </c>
    </row>
    <row r="596">
      <c r="A596" s="46" t="inlineStr">
        <is>
          <t>W13</t>
        </is>
      </c>
      <c r="B596" s="46" t="n">
        <v>6</v>
      </c>
      <c r="C596" s="47" t="n">
        <v>22</v>
      </c>
      <c r="D596" s="47" t="n">
        <v>84.04</v>
      </c>
      <c r="E596" s="46" t="str">
        <f>IF(C596&lt;=72.0,"Y","N")</f>
        <v>Y</v>
      </c>
      <c r="F596" s="46">
        <f>IF(E596="Y",D596,"")</f>
        <v>84.04</v>
      </c>
    </row>
    <row r="597">
      <c r="A597" s="46" t="inlineStr">
        <is>
          <t>W13</t>
        </is>
      </c>
      <c r="B597" s="46" t="n">
        <v>7</v>
      </c>
      <c r="C597" s="47" t="n">
        <v>22</v>
      </c>
      <c r="D597" s="47" t="n">
        <v>84.66</v>
      </c>
      <c r="E597" s="46" t="str">
        <f>IF(C597&lt;=72.0,"Y","N")</f>
        <v>Y</v>
      </c>
      <c r="F597" s="46">
        <f>IF(E597="Y",D597,"")</f>
        <v>84.66</v>
      </c>
    </row>
    <row r="598">
      <c r="A598" s="46" t="inlineStr">
        <is>
          <t>W13</t>
        </is>
      </c>
      <c r="B598" s="46" t="n">
        <v>8</v>
      </c>
      <c r="C598" s="47" t="n">
        <v>22</v>
      </c>
      <c r="D598" s="47" t="n">
        <v>84.37</v>
      </c>
      <c r="E598" s="46" t="str">
        <f>IF(C598&lt;=72.0,"Y","N")</f>
        <v>Y</v>
      </c>
      <c r="F598" s="46">
        <f>IF(E598="Y",D598,"")</f>
        <v>84.37</v>
      </c>
    </row>
    <row r="599">
      <c r="A599" s="46" t="inlineStr">
        <is>
          <t>W13</t>
        </is>
      </c>
      <c r="B599" s="46" t="n">
        <v>9</v>
      </c>
      <c r="C599" s="47" t="n">
        <v>22</v>
      </c>
      <c r="D599" s="47" t="n">
        <v>85.22</v>
      </c>
      <c r="E599" s="46" t="str">
        <f>IF(C599&lt;=72.0,"Y","N")</f>
        <v>Y</v>
      </c>
      <c r="F599" s="46">
        <f>IF(E599="Y",D599,"")</f>
        <v>85.22</v>
      </c>
    </row>
    <row r="600">
      <c r="A600" s="46" t="inlineStr">
        <is>
          <t>W13</t>
        </is>
      </c>
      <c r="B600" s="46" t="n">
        <v>10</v>
      </c>
      <c r="C600" s="47" t="n">
        <v>40</v>
      </c>
      <c r="D600" s="47" t="n">
        <v>86.63</v>
      </c>
      <c r="E600" s="46" t="str">
        <f>IF(C600&lt;=72.0,"Y","N")</f>
        <v>Y</v>
      </c>
      <c r="F600" s="46">
        <f>IF(E600="Y",D600,"")</f>
        <v>86.63</v>
      </c>
    </row>
    <row r="601">
      <c r="A601" s="46" t="inlineStr">
        <is>
          <t>W13</t>
        </is>
      </c>
      <c r="B601" s="46" t="n">
        <v>11</v>
      </c>
      <c r="C601" s="47" t="n">
        <v>40</v>
      </c>
      <c r="D601" s="47" t="n">
        <v>86.17</v>
      </c>
      <c r="E601" s="46" t="str">
        <f>IF(C601&lt;=72.0,"Y","N")</f>
        <v>Y</v>
      </c>
      <c r="F601" s="46">
        <f>IF(E601="Y",D601,"")</f>
        <v>86.17</v>
      </c>
    </row>
    <row r="602">
      <c r="A602" s="46" t="inlineStr">
        <is>
          <t>W13</t>
        </is>
      </c>
      <c r="B602" s="46" t="n">
        <v>12</v>
      </c>
      <c r="C602" s="47" t="n">
        <v>40</v>
      </c>
      <c r="D602" s="47" t="n">
        <v>86.31</v>
      </c>
      <c r="E602" s="46" t="str">
        <f>IF(C602&lt;=72.0,"Y","N")</f>
        <v>Y</v>
      </c>
      <c r="F602" s="46">
        <f>IF(E602="Y",D602,"")</f>
        <v>86.31</v>
      </c>
    </row>
    <row r="603">
      <c r="A603" s="46" t="inlineStr">
        <is>
          <t>W13</t>
        </is>
      </c>
      <c r="B603" s="46" t="n">
        <v>13</v>
      </c>
      <c r="C603" s="47" t="n">
        <v>40</v>
      </c>
      <c r="D603" s="47" t="n">
        <v>87</v>
      </c>
      <c r="E603" s="46" t="str">
        <f>IF(C603&lt;=72.0,"Y","N")</f>
        <v>Y</v>
      </c>
      <c r="F603" s="46">
        <f>IF(E603="Y",D603,"")</f>
        <v>87</v>
      </c>
    </row>
    <row r="604">
      <c r="A604" s="46" t="inlineStr">
        <is>
          <t>W13</t>
        </is>
      </c>
      <c r="B604" s="46" t="n">
        <v>14</v>
      </c>
      <c r="C604" s="47" t="n">
        <v>40</v>
      </c>
      <c r="D604" s="47" t="n">
        <v>86.08</v>
      </c>
      <c r="E604" s="46" t="str">
        <f>IF(C604&lt;=72.0,"Y","N")</f>
        <v>Y</v>
      </c>
      <c r="F604" s="46">
        <f>IF(E604="Y",D604,"")</f>
        <v>86.08</v>
      </c>
    </row>
    <row r="605">
      <c r="A605" s="46" t="inlineStr">
        <is>
          <t>W13</t>
        </is>
      </c>
      <c r="B605" s="46" t="n">
        <v>15</v>
      </c>
      <c r="C605" s="47" t="n">
        <v>40</v>
      </c>
      <c r="D605" s="47" t="n">
        <v>85.98</v>
      </c>
      <c r="E605" s="46" t="str">
        <f>IF(C605&lt;=72.0,"Y","N")</f>
        <v>Y</v>
      </c>
      <c r="F605" s="46">
        <f>IF(E605="Y",D605,"")</f>
        <v>85.98</v>
      </c>
    </row>
    <row r="606">
      <c r="A606" s="46" t="inlineStr">
        <is>
          <t>W13</t>
        </is>
      </c>
      <c r="B606" s="46" t="n">
        <v>16</v>
      </c>
      <c r="C606" s="47" t="n">
        <v>40</v>
      </c>
      <c r="D606" s="47" t="n">
        <v>87.11</v>
      </c>
      <c r="E606" s="46" t="str">
        <f>IF(C606&lt;=72.0,"Y","N")</f>
        <v>Y</v>
      </c>
      <c r="F606" s="46">
        <f>IF(E606="Y",D606,"")</f>
        <v>87.11</v>
      </c>
    </row>
    <row r="607">
      <c r="A607" s="46" t="inlineStr">
        <is>
          <t>W13</t>
        </is>
      </c>
      <c r="B607" s="46" t="n">
        <v>17</v>
      </c>
      <c r="C607" s="47" t="n">
        <v>40</v>
      </c>
      <c r="D607" s="47" t="n">
        <v>85.8</v>
      </c>
      <c r="E607" s="46" t="str">
        <f>IF(C607&lt;=72.0,"Y","N")</f>
        <v>Y</v>
      </c>
      <c r="F607" s="46">
        <f>IF(E607="Y",D607,"")</f>
        <v>85.8</v>
      </c>
    </row>
    <row r="608">
      <c r="A608" s="46" t="inlineStr">
        <is>
          <t>W13</t>
        </is>
      </c>
      <c r="B608" s="46" t="n">
        <v>18</v>
      </c>
      <c r="C608" s="47" t="n">
        <v>40</v>
      </c>
      <c r="D608" s="47" t="n">
        <v>86.65</v>
      </c>
      <c r="E608" s="46" t="str">
        <f>IF(C608&lt;=72.0,"Y","N")</f>
        <v>Y</v>
      </c>
      <c r="F608" s="46">
        <f>IF(E608="Y",D608,"")</f>
        <v>86.65</v>
      </c>
    </row>
    <row r="609">
      <c r="A609" s="46" t="inlineStr">
        <is>
          <t>W13</t>
        </is>
      </c>
      <c r="B609" s="46" t="n">
        <v>19</v>
      </c>
      <c r="C609" s="47" t="n">
        <v>40</v>
      </c>
      <c r="D609" s="47" t="n">
        <v>87.16</v>
      </c>
      <c r="E609" s="46" t="str">
        <f>IF(C609&lt;=72.0,"Y","N")</f>
        <v>Y</v>
      </c>
      <c r="F609" s="46">
        <f>IF(E609="Y",D609,"")</f>
        <v>87.16</v>
      </c>
    </row>
    <row r="610">
      <c r="A610" s="46" t="inlineStr">
        <is>
          <t>W13</t>
        </is>
      </c>
      <c r="B610" s="46" t="n">
        <v>20</v>
      </c>
      <c r="C610" s="47" t="n">
        <v>40</v>
      </c>
      <c r="D610" s="47" t="n">
        <v>85.81</v>
      </c>
      <c r="E610" s="46" t="str">
        <f>IF(C610&lt;=72.0,"Y","N")</f>
        <v>Y</v>
      </c>
      <c r="F610" s="46">
        <f>IF(E610="Y",D610,"")</f>
        <v>85.81</v>
      </c>
    </row>
    <row r="611">
      <c r="A611" s="46" t="inlineStr">
        <is>
          <t>W13</t>
        </is>
      </c>
      <c r="B611" s="46" t="n">
        <v>21</v>
      </c>
      <c r="C611" s="47" t="n">
        <v>40</v>
      </c>
      <c r="D611" s="47" t="n">
        <v>86.51</v>
      </c>
      <c r="E611" s="46" t="str">
        <f>IF(C611&lt;=72.0,"Y","N")</f>
        <v>Y</v>
      </c>
      <c r="F611" s="46">
        <f>IF(E611="Y",D611,"")</f>
        <v>86.51</v>
      </c>
    </row>
    <row r="612">
      <c r="A612" s="46" t="inlineStr">
        <is>
          <t>W13</t>
        </is>
      </c>
      <c r="B612" s="46" t="n">
        <v>22</v>
      </c>
      <c r="C612" s="47" t="n">
        <v>58</v>
      </c>
      <c r="D612" s="47" t="n">
        <v>89.07</v>
      </c>
      <c r="E612" s="46" t="str">
        <f>IF(C612&lt;=72.0,"Y","N")</f>
        <v>Y</v>
      </c>
      <c r="F612" s="46">
        <f>IF(E612="Y",D612,"")</f>
        <v>89.07</v>
      </c>
    </row>
    <row r="613">
      <c r="A613" s="46" t="inlineStr">
        <is>
          <t>W13</t>
        </is>
      </c>
      <c r="B613" s="46" t="n">
        <v>23</v>
      </c>
      <c r="C613" s="47" t="n">
        <v>58</v>
      </c>
      <c r="D613" s="47" t="n">
        <v>90.46</v>
      </c>
      <c r="E613" s="46" t="str">
        <f>IF(C613&lt;=72.0,"Y","N")</f>
        <v>Y</v>
      </c>
      <c r="F613" s="46">
        <f>IF(E613="Y",D613,"")</f>
        <v>90.46</v>
      </c>
    </row>
    <row r="614">
      <c r="A614" s="46" t="inlineStr">
        <is>
          <t>W13</t>
        </is>
      </c>
      <c r="B614" s="46" t="n">
        <v>24</v>
      </c>
      <c r="C614" s="47" t="n">
        <v>58</v>
      </c>
      <c r="D614" s="47" t="n">
        <v>89.92</v>
      </c>
      <c r="E614" s="46" t="str">
        <f>IF(C614&lt;=72.0,"Y","N")</f>
        <v>Y</v>
      </c>
      <c r="F614" s="46">
        <f>IF(E614="Y",D614,"")</f>
        <v>89.92</v>
      </c>
    </row>
    <row r="615">
      <c r="A615" s="46" t="inlineStr">
        <is>
          <t>W13</t>
        </is>
      </c>
      <c r="B615" s="46" t="n">
        <v>25</v>
      </c>
      <c r="C615" s="47" t="n">
        <v>58</v>
      </c>
      <c r="D615" s="47" t="n">
        <v>89.24</v>
      </c>
      <c r="E615" s="46" t="str">
        <f>IF(C615&lt;=72.0,"Y","N")</f>
        <v>Y</v>
      </c>
      <c r="F615" s="46">
        <f>IF(E615="Y",D615,"")</f>
        <v>89.24</v>
      </c>
    </row>
    <row r="616">
      <c r="A616" s="46" t="inlineStr">
        <is>
          <t>W13</t>
        </is>
      </c>
      <c r="B616" s="46" t="n">
        <v>26</v>
      </c>
      <c r="C616" s="47" t="n">
        <v>58</v>
      </c>
      <c r="D616" s="47" t="n">
        <v>89.68</v>
      </c>
      <c r="E616" s="46" t="str">
        <f>IF(C616&lt;=72.0,"Y","N")</f>
        <v>Y</v>
      </c>
      <c r="F616" s="46">
        <f>IF(E616="Y",D616,"")</f>
        <v>89.68</v>
      </c>
    </row>
    <row r="617">
      <c r="A617" s="46" t="inlineStr">
        <is>
          <t>W13</t>
        </is>
      </c>
      <c r="B617" s="46" t="n">
        <v>27</v>
      </c>
      <c r="C617" s="47" t="n">
        <v>58</v>
      </c>
      <c r="D617" s="47" t="n">
        <v>89.16</v>
      </c>
      <c r="E617" s="46" t="str">
        <f>IF(C617&lt;=72.0,"Y","N")</f>
        <v>Y</v>
      </c>
      <c r="F617" s="46">
        <f>IF(E617="Y",D617,"")</f>
        <v>89.16</v>
      </c>
    </row>
    <row r="618">
      <c r="A618" s="46" t="inlineStr">
        <is>
          <t>W13</t>
        </is>
      </c>
      <c r="B618" s="46" t="n">
        <v>28</v>
      </c>
      <c r="C618" s="47" t="n">
        <v>58</v>
      </c>
      <c r="D618" s="47" t="n">
        <v>88.99</v>
      </c>
      <c r="E618" s="46" t="str">
        <f>IF(C618&lt;=72.0,"Y","N")</f>
        <v>Y</v>
      </c>
      <c r="F618" s="46">
        <f>IF(E618="Y",D618,"")</f>
        <v>88.99</v>
      </c>
    </row>
    <row r="619">
      <c r="A619" s="46" t="inlineStr">
        <is>
          <t>W13</t>
        </is>
      </c>
      <c r="B619" s="46" t="n">
        <v>29</v>
      </c>
      <c r="C619" s="47" t="n">
        <v>58</v>
      </c>
      <c r="D619" s="47" t="n">
        <v>90.41</v>
      </c>
      <c r="E619" s="46" t="str">
        <f>IF(C619&lt;=72.0,"Y","N")</f>
        <v>Y</v>
      </c>
      <c r="F619" s="46">
        <f>IF(E619="Y",D619,"")</f>
        <v>90.41</v>
      </c>
    </row>
    <row r="620">
      <c r="A620" s="46" t="inlineStr">
        <is>
          <t>W13</t>
        </is>
      </c>
      <c r="B620" s="46" t="n">
        <v>30</v>
      </c>
      <c r="C620" s="47" t="n">
        <v>58</v>
      </c>
      <c r="D620" s="47" t="n">
        <v>89.85</v>
      </c>
      <c r="E620" s="46" t="str">
        <f>IF(C620&lt;=72.0,"Y","N")</f>
        <v>Y</v>
      </c>
      <c r="F620" s="46">
        <f>IF(E620="Y",D620,"")</f>
        <v>89.85</v>
      </c>
    </row>
    <row r="621">
      <c r="A621" s="46" t="inlineStr">
        <is>
          <t>W13</t>
        </is>
      </c>
      <c r="B621" s="46" t="n">
        <v>31</v>
      </c>
      <c r="C621" s="47" t="n">
        <v>58</v>
      </c>
      <c r="D621" s="47" t="n">
        <v>89.69</v>
      </c>
      <c r="E621" s="46" t="str">
        <f>IF(C621&lt;=72.0,"Y","N")</f>
        <v>Y</v>
      </c>
      <c r="F621" s="46">
        <f>IF(E621="Y",D621,"")</f>
        <v>89.69</v>
      </c>
    </row>
    <row r="622">
      <c r="A622" s="46" t="inlineStr">
        <is>
          <t>W13</t>
        </is>
      </c>
      <c r="B622" s="46" t="n">
        <v>32</v>
      </c>
      <c r="C622" s="47" t="n">
        <v>58</v>
      </c>
      <c r="D622" s="47" t="n">
        <v>89.12</v>
      </c>
      <c r="E622" s="46" t="str">
        <f>IF(C622&lt;=72.0,"Y","N")</f>
        <v>Y</v>
      </c>
      <c r="F622" s="46">
        <f>IF(E622="Y",D622,"")</f>
        <v>89.12</v>
      </c>
    </row>
    <row r="623">
      <c r="A623" s="46" t="inlineStr">
        <is>
          <t>W13</t>
        </is>
      </c>
      <c r="B623" s="46" t="n">
        <v>33</v>
      </c>
      <c r="C623" s="47" t="n">
        <v>58</v>
      </c>
      <c r="D623" s="47" t="n">
        <v>89.39</v>
      </c>
      <c r="E623" s="46" t="str">
        <f>IF(C623&lt;=72.0,"Y","N")</f>
        <v>Y</v>
      </c>
      <c r="F623" s="46">
        <f>IF(E623="Y",D623,"")</f>
        <v>89.39</v>
      </c>
    </row>
    <row r="624">
      <c r="A624" s="46" t="inlineStr">
        <is>
          <t>W13</t>
        </is>
      </c>
      <c r="B624" s="46" t="n">
        <v>34</v>
      </c>
      <c r="C624" s="47" t="n">
        <v>73</v>
      </c>
      <c r="D624" s="47" t="n">
        <v>92.78</v>
      </c>
      <c r="E624" s="46" t="str">
        <f>IF(C624&lt;=72.0,"Y","N")</f>
        <v>N</v>
      </c>
      <c r="F624" s="46" t="str">
        <f>IF(E624="Y",D624,"")</f>
        <v/>
      </c>
    </row>
    <row r="625">
      <c r="A625" s="46" t="inlineStr">
        <is>
          <t>W13</t>
        </is>
      </c>
      <c r="B625" s="46" t="n">
        <v>35</v>
      </c>
      <c r="C625" s="47" t="n">
        <v>73</v>
      </c>
      <c r="D625" s="47" t="n">
        <v>93.06</v>
      </c>
      <c r="E625" s="46" t="str">
        <f>IF(C625&lt;=72.0,"Y","N")</f>
        <v>N</v>
      </c>
      <c r="F625" s="46" t="str">
        <f>IF(E625="Y",D625,"")</f>
        <v/>
      </c>
    </row>
    <row r="626">
      <c r="A626" s="46" t="inlineStr">
        <is>
          <t>W13</t>
        </is>
      </c>
      <c r="B626" s="46" t="n">
        <v>36</v>
      </c>
      <c r="C626" s="47" t="n">
        <v>73</v>
      </c>
      <c r="D626" s="47" t="n">
        <v>93.91</v>
      </c>
      <c r="E626" s="46" t="str">
        <f>IF(C626&lt;=72.0,"Y","N")</f>
        <v>N</v>
      </c>
      <c r="F626" s="46" t="str">
        <f>IF(E626="Y",D626,"")</f>
        <v/>
      </c>
    </row>
    <row r="627">
      <c r="A627" s="46" t="inlineStr">
        <is>
          <t>W13</t>
        </is>
      </c>
      <c r="B627" s="46" t="n">
        <v>37</v>
      </c>
      <c r="C627" s="47" t="n">
        <v>73</v>
      </c>
      <c r="D627" s="47" t="n">
        <v>92.81</v>
      </c>
      <c r="E627" s="46" t="str">
        <f>IF(C627&lt;=72.0,"Y","N")</f>
        <v>N</v>
      </c>
      <c r="F627" s="46" t="str">
        <f>IF(E627="Y",D627,"")</f>
        <v/>
      </c>
    </row>
    <row r="628">
      <c r="A628" s="46" t="inlineStr">
        <is>
          <t>W13</t>
        </is>
      </c>
      <c r="B628" s="46" t="n">
        <v>38</v>
      </c>
      <c r="C628" s="47" t="n">
        <v>73</v>
      </c>
      <c r="D628" s="47" t="n">
        <v>93.77</v>
      </c>
      <c r="E628" s="46" t="str">
        <f>IF(C628&lt;=72.0,"Y","N")</f>
        <v>N</v>
      </c>
      <c r="F628" s="46" t="str">
        <f>IF(E628="Y",D628,"")</f>
        <v/>
      </c>
    </row>
    <row r="629">
      <c r="A629" s="46" t="inlineStr">
        <is>
          <t>W13</t>
        </is>
      </c>
      <c r="B629" s="46" t="n">
        <v>39</v>
      </c>
      <c r="C629" s="47" t="n">
        <v>73</v>
      </c>
      <c r="D629" s="47" t="n">
        <v>93.38</v>
      </c>
      <c r="E629" s="46" t="str">
        <f>IF(C629&lt;=72.0,"Y","N")</f>
        <v>N</v>
      </c>
      <c r="F629" s="46" t="str">
        <f>IF(E629="Y",D629,"")</f>
        <v/>
      </c>
    </row>
    <row r="630">
      <c r="A630" s="46" t="inlineStr">
        <is>
          <t>W13</t>
        </is>
      </c>
      <c r="B630" s="46" t="n">
        <v>40</v>
      </c>
      <c r="C630" s="47" t="n">
        <v>73</v>
      </c>
      <c r="D630" s="47" t="n">
        <v>93.53</v>
      </c>
      <c r="E630" s="46" t="str">
        <f>IF(C630&lt;=72.0,"Y","N")</f>
        <v>N</v>
      </c>
      <c r="F630" s="46" t="str">
        <f>IF(E630="Y",D630,"")</f>
        <v/>
      </c>
    </row>
    <row r="631">
      <c r="A631" s="46" t="inlineStr">
        <is>
          <t>W13</t>
        </is>
      </c>
      <c r="B631" s="46" t="n">
        <v>41</v>
      </c>
      <c r="C631" s="47" t="n">
        <v>73</v>
      </c>
      <c r="D631" s="47" t="n">
        <v>93.86</v>
      </c>
      <c r="E631" s="46" t="str">
        <f>IF(C631&lt;=72.0,"Y","N")</f>
        <v>N</v>
      </c>
      <c r="F631" s="46" t="str">
        <f>IF(E631="Y",D631,"")</f>
        <v/>
      </c>
    </row>
    <row r="632">
      <c r="A632" s="46" t="inlineStr">
        <is>
          <t>W13</t>
        </is>
      </c>
      <c r="B632" s="46" t="n">
        <v>42</v>
      </c>
      <c r="C632" s="47" t="n">
        <v>73</v>
      </c>
      <c r="D632" s="47" t="n">
        <v>92.58</v>
      </c>
      <c r="E632" s="46" t="str">
        <f>IF(C632&lt;=72.0,"Y","N")</f>
        <v>N</v>
      </c>
      <c r="F632" s="46" t="str">
        <f>IF(E632="Y",D632,"")</f>
        <v/>
      </c>
    </row>
    <row r="633">
      <c r="A633" s="46" t="inlineStr">
        <is>
          <t>W13</t>
        </is>
      </c>
      <c r="B633" s="46" t="n">
        <v>43</v>
      </c>
      <c r="C633" s="47" t="n">
        <v>73</v>
      </c>
      <c r="D633" s="47" t="n">
        <v>93.23</v>
      </c>
      <c r="E633" s="46" t="str">
        <f>IF(C633&lt;=72.0,"Y","N")</f>
        <v>N</v>
      </c>
      <c r="F633" s="46" t="str">
        <f>IF(E633="Y",D633,"")</f>
        <v/>
      </c>
    </row>
    <row r="634">
      <c r="A634" s="46" t="inlineStr">
        <is>
          <t>W13</t>
        </is>
      </c>
      <c r="B634" s="46" t="n">
        <v>44</v>
      </c>
      <c r="C634" s="47" t="n">
        <v>73</v>
      </c>
      <c r="D634" s="47" t="n">
        <v>92.79</v>
      </c>
      <c r="E634" s="46" t="str">
        <f>IF(C634&lt;=72.0,"Y","N")</f>
        <v>N</v>
      </c>
      <c r="F634" s="46" t="str">
        <f>IF(E634="Y",D634,"")</f>
        <v/>
      </c>
    </row>
    <row r="635">
      <c r="A635" s="46" t="inlineStr">
        <is>
          <t>W13</t>
        </is>
      </c>
      <c r="B635" s="46" t="n">
        <v>45</v>
      </c>
      <c r="C635" s="47" t="n">
        <v>73</v>
      </c>
      <c r="D635" s="47" t="n">
        <v>93.08</v>
      </c>
      <c r="E635" s="46" t="str">
        <f>IF(C635&lt;=72.0,"Y","N")</f>
        <v>N</v>
      </c>
      <c r="F635" s="46" t="str">
        <f>IF(E635="Y",D635,"")</f>
        <v/>
      </c>
    </row>
    <row r="636">
      <c r="A636" s="46" t="inlineStr">
        <is>
          <t>W13</t>
        </is>
      </c>
      <c r="B636" s="46" t="n">
        <v>46</v>
      </c>
      <c r="C636" s="47" t="n">
        <v>73</v>
      </c>
      <c r="D636" s="47" t="n">
        <v>92.8</v>
      </c>
      <c r="E636" s="46" t="str">
        <f>IF(C636&lt;=72.0,"Y","N")</f>
        <v>N</v>
      </c>
      <c r="F636" s="46" t="str">
        <f>IF(E636="Y",D636,"")</f>
        <v/>
      </c>
    </row>
    <row r="637">
      <c r="A637" s="46" t="inlineStr">
        <is>
          <t>W13</t>
        </is>
      </c>
      <c r="B637" s="46" t="n">
        <v>47</v>
      </c>
      <c r="C637" s="47" t="n">
        <v>73</v>
      </c>
      <c r="D637" s="47" t="n">
        <v>92.67</v>
      </c>
      <c r="E637" s="46" t="str">
        <f>IF(C637&lt;=72.0,"Y","N")</f>
        <v>N</v>
      </c>
      <c r="F637" s="46" t="str">
        <f>IF(E637="Y",D637,"")</f>
        <v/>
      </c>
    </row>
    <row r="638">
      <c r="A638" s="46" t="inlineStr">
        <is>
          <t>W13</t>
        </is>
      </c>
      <c r="B638" s="46" t="n">
        <v>48</v>
      </c>
      <c r="C638" s="47" t="n">
        <v>73</v>
      </c>
      <c r="D638" s="47" t="n">
        <v>93.05</v>
      </c>
      <c r="E638" s="46" t="str">
        <f>IF(C638&lt;=72.0,"Y","N")</f>
        <v>N</v>
      </c>
      <c r="F638" s="46" t="str">
        <f>IF(E638="Y",D638,"")</f>
        <v/>
      </c>
    </row>
    <row r="639">
      <c r="A639" s="46" t="inlineStr">
        <is>
          <t>W13</t>
        </is>
      </c>
      <c r="B639" s="46" t="n">
        <v>49</v>
      </c>
      <c r="C639" s="47" t="n">
        <v>73</v>
      </c>
      <c r="D639" s="47" t="n">
        <v>92.72</v>
      </c>
      <c r="E639" s="46" t="str">
        <f>IF(C639&lt;=72.0,"Y","N")</f>
        <v>N</v>
      </c>
      <c r="F639" s="46" t="str">
        <f>IF(E639="Y",D639,"")</f>
        <v/>
      </c>
    </row>
    <row r="640">
      <c r="A640" s="46" t="inlineStr">
        <is>
          <t>W14</t>
        </is>
      </c>
      <c r="B640" s="46" t="n">
        <v>1</v>
      </c>
      <c r="C640" s="47" t="n">
        <v>0</v>
      </c>
      <c r="D640" s="47" t="n">
        <v>82.82</v>
      </c>
      <c r="E640" s="46" t="str">
        <f>IF(C640&lt;=72.0,"Y","N")</f>
        <v>Y</v>
      </c>
      <c r="F640" s="46">
        <f>IF(E640="Y",D640,"")</f>
        <v>82.82</v>
      </c>
    </row>
    <row r="641">
      <c r="A641" s="46" t="inlineStr">
        <is>
          <t>W14</t>
        </is>
      </c>
      <c r="B641" s="46" t="n">
        <v>2</v>
      </c>
      <c r="C641" s="47" t="n">
        <v>22</v>
      </c>
      <c r="D641" s="47" t="n">
        <v>82.45</v>
      </c>
      <c r="E641" s="46" t="str">
        <f>IF(C641&lt;=72.0,"Y","N")</f>
        <v>Y</v>
      </c>
      <c r="F641" s="46">
        <f>IF(E641="Y",D641,"")</f>
        <v>82.45</v>
      </c>
    </row>
    <row r="642">
      <c r="A642" s="46" t="inlineStr">
        <is>
          <t>W14</t>
        </is>
      </c>
      <c r="B642" s="46" t="n">
        <v>3</v>
      </c>
      <c r="C642" s="47" t="n">
        <v>22</v>
      </c>
      <c r="D642" s="47" t="n">
        <v>83.13</v>
      </c>
      <c r="E642" s="46" t="str">
        <f>IF(C642&lt;=72.0,"Y","N")</f>
        <v>Y</v>
      </c>
      <c r="F642" s="46">
        <f>IF(E642="Y",D642,"")</f>
        <v>83.13</v>
      </c>
    </row>
    <row r="643">
      <c r="A643" s="46" t="inlineStr">
        <is>
          <t>W14</t>
        </is>
      </c>
      <c r="B643" s="46" t="n">
        <v>4</v>
      </c>
      <c r="C643" s="47" t="n">
        <v>22</v>
      </c>
      <c r="D643" s="47" t="n">
        <v>83.4</v>
      </c>
      <c r="E643" s="46" t="str">
        <f>IF(C643&lt;=72.0,"Y","N")</f>
        <v>Y</v>
      </c>
      <c r="F643" s="46">
        <f>IF(E643="Y",D643,"")</f>
        <v>83.4</v>
      </c>
    </row>
    <row r="644">
      <c r="A644" s="46" t="inlineStr">
        <is>
          <t>W14</t>
        </is>
      </c>
      <c r="B644" s="46" t="n">
        <v>5</v>
      </c>
      <c r="C644" s="47" t="n">
        <v>22</v>
      </c>
      <c r="D644" s="47" t="n">
        <v>83.45</v>
      </c>
      <c r="E644" s="46" t="str">
        <f>IF(C644&lt;=72.0,"Y","N")</f>
        <v>Y</v>
      </c>
      <c r="F644" s="46">
        <f>IF(E644="Y",D644,"")</f>
        <v>83.45</v>
      </c>
    </row>
    <row r="645">
      <c r="A645" s="46" t="inlineStr">
        <is>
          <t>W14</t>
        </is>
      </c>
      <c r="B645" s="46" t="n">
        <v>6</v>
      </c>
      <c r="C645" s="47" t="n">
        <v>22</v>
      </c>
      <c r="D645" s="47" t="n">
        <v>83.72</v>
      </c>
      <c r="E645" s="46" t="str">
        <f>IF(C645&lt;=72.0,"Y","N")</f>
        <v>Y</v>
      </c>
      <c r="F645" s="46">
        <f>IF(E645="Y",D645,"")</f>
        <v>83.72</v>
      </c>
    </row>
    <row r="646">
      <c r="A646" s="46" t="inlineStr">
        <is>
          <t>W14</t>
        </is>
      </c>
      <c r="B646" s="46" t="n">
        <v>7</v>
      </c>
      <c r="C646" s="47" t="n">
        <v>22</v>
      </c>
      <c r="D646" s="47" t="n">
        <v>82.58</v>
      </c>
      <c r="E646" s="46" t="str">
        <f>IF(C646&lt;=72.0,"Y","N")</f>
        <v>Y</v>
      </c>
      <c r="F646" s="46">
        <f>IF(E646="Y",D646,"")</f>
        <v>82.58</v>
      </c>
    </row>
    <row r="647">
      <c r="A647" s="46" t="inlineStr">
        <is>
          <t>W14</t>
        </is>
      </c>
      <c r="B647" s="46" t="n">
        <v>8</v>
      </c>
      <c r="C647" s="47" t="n">
        <v>22</v>
      </c>
      <c r="D647" s="47" t="n">
        <v>83.26</v>
      </c>
      <c r="E647" s="46" t="str">
        <f>IF(C647&lt;=72.0,"Y","N")</f>
        <v>Y</v>
      </c>
      <c r="F647" s="46">
        <f>IF(E647="Y",D647,"")</f>
        <v>83.26</v>
      </c>
    </row>
    <row r="648">
      <c r="A648" s="46" t="inlineStr">
        <is>
          <t>W14</t>
        </is>
      </c>
      <c r="B648" s="46" t="n">
        <v>9</v>
      </c>
      <c r="C648" s="47" t="n">
        <v>22</v>
      </c>
      <c r="D648" s="47" t="n">
        <v>84.02</v>
      </c>
      <c r="E648" s="46" t="str">
        <f>IF(C648&lt;=72.0,"Y","N")</f>
        <v>Y</v>
      </c>
      <c r="F648" s="46">
        <f>IF(E648="Y",D648,"")</f>
        <v>84.02</v>
      </c>
    </row>
    <row r="649">
      <c r="A649" s="46" t="inlineStr">
        <is>
          <t>W14</t>
        </is>
      </c>
      <c r="B649" s="46" t="n">
        <v>10</v>
      </c>
      <c r="C649" s="47" t="n">
        <v>40</v>
      </c>
      <c r="D649" s="47" t="n">
        <v>86.03</v>
      </c>
      <c r="E649" s="46" t="str">
        <f>IF(C649&lt;=72.0,"Y","N")</f>
        <v>Y</v>
      </c>
      <c r="F649" s="46">
        <f>IF(E649="Y",D649,"")</f>
        <v>86.03</v>
      </c>
    </row>
    <row r="650">
      <c r="A650" s="46" t="inlineStr">
        <is>
          <t>W14</t>
        </is>
      </c>
      <c r="B650" s="46" t="n">
        <v>11</v>
      </c>
      <c r="C650" s="47" t="n">
        <v>40</v>
      </c>
      <c r="D650" s="47" t="n">
        <v>84.83</v>
      </c>
      <c r="E650" s="46" t="str">
        <f>IF(C650&lt;=72.0,"Y","N")</f>
        <v>Y</v>
      </c>
      <c r="F650" s="46">
        <f>IF(E650="Y",D650,"")</f>
        <v>84.83</v>
      </c>
    </row>
    <row r="651">
      <c r="A651" s="46" t="inlineStr">
        <is>
          <t>W14</t>
        </is>
      </c>
      <c r="B651" s="46" t="n">
        <v>12</v>
      </c>
      <c r="C651" s="47" t="n">
        <v>40</v>
      </c>
      <c r="D651" s="47" t="n">
        <v>84.63</v>
      </c>
      <c r="E651" s="46" t="str">
        <f>IF(C651&lt;=72.0,"Y","N")</f>
        <v>Y</v>
      </c>
      <c r="F651" s="46">
        <f>IF(E651="Y",D651,"")</f>
        <v>84.63</v>
      </c>
    </row>
    <row r="652">
      <c r="A652" s="46" t="inlineStr">
        <is>
          <t>W14</t>
        </is>
      </c>
      <c r="B652" s="46" t="n">
        <v>13</v>
      </c>
      <c r="C652" s="47" t="n">
        <v>40</v>
      </c>
      <c r="D652" s="47" t="n">
        <v>85.13</v>
      </c>
      <c r="E652" s="46" t="str">
        <f>IF(C652&lt;=72.0,"Y","N")</f>
        <v>Y</v>
      </c>
      <c r="F652" s="46">
        <f>IF(E652="Y",D652,"")</f>
        <v>85.13</v>
      </c>
    </row>
    <row r="653">
      <c r="A653" s="46" t="inlineStr">
        <is>
          <t>W14</t>
        </is>
      </c>
      <c r="B653" s="46" t="n">
        <v>14</v>
      </c>
      <c r="C653" s="47" t="n">
        <v>40</v>
      </c>
      <c r="D653" s="47" t="n">
        <v>85.92</v>
      </c>
      <c r="E653" s="46" t="str">
        <f>IF(C653&lt;=72.0,"Y","N")</f>
        <v>Y</v>
      </c>
      <c r="F653" s="46">
        <f>IF(E653="Y",D653,"")</f>
        <v>85.92</v>
      </c>
    </row>
    <row r="654">
      <c r="A654" s="46" t="inlineStr">
        <is>
          <t>W14</t>
        </is>
      </c>
      <c r="B654" s="46" t="n">
        <v>15</v>
      </c>
      <c r="C654" s="47" t="n">
        <v>40</v>
      </c>
      <c r="D654" s="47" t="n">
        <v>84.63</v>
      </c>
      <c r="E654" s="46" t="str">
        <f>IF(C654&lt;=72.0,"Y","N")</f>
        <v>Y</v>
      </c>
      <c r="F654" s="46">
        <f>IF(E654="Y",D654,"")</f>
        <v>84.63</v>
      </c>
    </row>
    <row r="655">
      <c r="A655" s="46" t="inlineStr">
        <is>
          <t>W14</t>
        </is>
      </c>
      <c r="B655" s="46" t="n">
        <v>16</v>
      </c>
      <c r="C655" s="47" t="n">
        <v>40</v>
      </c>
      <c r="D655" s="47" t="n">
        <v>84.6</v>
      </c>
      <c r="E655" s="46" t="str">
        <f>IF(C655&lt;=72.0,"Y","N")</f>
        <v>Y</v>
      </c>
      <c r="F655" s="46">
        <f>IF(E655="Y",D655,"")</f>
        <v>84.6</v>
      </c>
    </row>
    <row r="656">
      <c r="A656" s="46" t="inlineStr">
        <is>
          <t>W14</t>
        </is>
      </c>
      <c r="B656" s="46" t="n">
        <v>17</v>
      </c>
      <c r="C656" s="47" t="n">
        <v>40</v>
      </c>
      <c r="D656" s="47" t="n">
        <v>84.76</v>
      </c>
      <c r="E656" s="46" t="str">
        <f>IF(C656&lt;=72.0,"Y","N")</f>
        <v>Y</v>
      </c>
      <c r="F656" s="46">
        <f>IF(E656="Y",D656,"")</f>
        <v>84.76</v>
      </c>
    </row>
    <row r="657">
      <c r="A657" s="46" t="inlineStr">
        <is>
          <t>W14</t>
        </is>
      </c>
      <c r="B657" s="46" t="n">
        <v>18</v>
      </c>
      <c r="C657" s="47" t="n">
        <v>40</v>
      </c>
      <c r="D657" s="47" t="n">
        <v>85.77</v>
      </c>
      <c r="E657" s="46" t="str">
        <f>IF(C657&lt;=72.0,"Y","N")</f>
        <v>Y</v>
      </c>
      <c r="F657" s="46">
        <f>IF(E657="Y",D657,"")</f>
        <v>85.77</v>
      </c>
    </row>
    <row r="658">
      <c r="A658" s="46" t="inlineStr">
        <is>
          <t>W14</t>
        </is>
      </c>
      <c r="B658" s="46" t="n">
        <v>19</v>
      </c>
      <c r="C658" s="47" t="n">
        <v>40</v>
      </c>
      <c r="D658" s="47" t="n">
        <v>85.3</v>
      </c>
      <c r="E658" s="46" t="str">
        <f>IF(C658&lt;=72.0,"Y","N")</f>
        <v>Y</v>
      </c>
      <c r="F658" s="46">
        <f>IF(E658="Y",D658,"")</f>
        <v>85.3</v>
      </c>
    </row>
    <row r="659">
      <c r="A659" s="46" t="inlineStr">
        <is>
          <t>W14</t>
        </is>
      </c>
      <c r="B659" s="46" t="n">
        <v>20</v>
      </c>
      <c r="C659" s="47" t="n">
        <v>40</v>
      </c>
      <c r="D659" s="47" t="n">
        <v>84.77</v>
      </c>
      <c r="E659" s="46" t="str">
        <f>IF(C659&lt;=72.0,"Y","N")</f>
        <v>Y</v>
      </c>
      <c r="F659" s="46">
        <f>IF(E659="Y",D659,"")</f>
        <v>84.77</v>
      </c>
    </row>
    <row r="660">
      <c r="A660" s="46" t="inlineStr">
        <is>
          <t>W14</t>
        </is>
      </c>
      <c r="B660" s="46" t="n">
        <v>21</v>
      </c>
      <c r="C660" s="47" t="n">
        <v>40</v>
      </c>
      <c r="D660" s="47" t="n">
        <v>85.64</v>
      </c>
      <c r="E660" s="46" t="str">
        <f>IF(C660&lt;=72.0,"Y","N")</f>
        <v>Y</v>
      </c>
      <c r="F660" s="46">
        <f>IF(E660="Y",D660,"")</f>
        <v>85.64</v>
      </c>
    </row>
    <row r="661">
      <c r="A661" s="46" t="inlineStr">
        <is>
          <t>W14</t>
        </is>
      </c>
      <c r="B661" s="46" t="n">
        <v>22</v>
      </c>
      <c r="C661" s="47" t="n">
        <v>58</v>
      </c>
      <c r="D661" s="47" t="n">
        <v>88.86</v>
      </c>
      <c r="E661" s="46" t="str">
        <f>IF(C661&lt;=72.0,"Y","N")</f>
        <v>Y</v>
      </c>
      <c r="F661" s="46">
        <f>IF(E661="Y",D661,"")</f>
        <v>88.86</v>
      </c>
    </row>
    <row r="662">
      <c r="A662" s="46" t="inlineStr">
        <is>
          <t>W14</t>
        </is>
      </c>
      <c r="B662" s="46" t="n">
        <v>23</v>
      </c>
      <c r="C662" s="47" t="n">
        <v>58</v>
      </c>
      <c r="D662" s="47" t="n">
        <v>87.65</v>
      </c>
      <c r="E662" s="46" t="str">
        <f>IF(C662&lt;=72.0,"Y","N")</f>
        <v>Y</v>
      </c>
      <c r="F662" s="46">
        <f>IF(E662="Y",D662,"")</f>
        <v>87.65</v>
      </c>
    </row>
    <row r="663">
      <c r="A663" s="46" t="inlineStr">
        <is>
          <t>W14</t>
        </is>
      </c>
      <c r="B663" s="46" t="n">
        <v>24</v>
      </c>
      <c r="C663" s="47" t="n">
        <v>58</v>
      </c>
      <c r="D663" s="47" t="n">
        <v>89.15</v>
      </c>
      <c r="E663" s="46" t="str">
        <f>IF(C663&lt;=72.0,"Y","N")</f>
        <v>Y</v>
      </c>
      <c r="F663" s="46">
        <f>IF(E663="Y",D663,"")</f>
        <v>89.15</v>
      </c>
    </row>
    <row r="664">
      <c r="A664" s="46" t="inlineStr">
        <is>
          <t>W14</t>
        </is>
      </c>
      <c r="B664" s="46" t="n">
        <v>25</v>
      </c>
      <c r="C664" s="47" t="n">
        <v>58</v>
      </c>
      <c r="D664" s="47" t="n">
        <v>88.83</v>
      </c>
      <c r="E664" s="46" t="str">
        <f>IF(C664&lt;=72.0,"Y","N")</f>
        <v>Y</v>
      </c>
      <c r="F664" s="46">
        <f>IF(E664="Y",D664,"")</f>
        <v>88.83</v>
      </c>
    </row>
    <row r="665">
      <c r="A665" s="46" t="inlineStr">
        <is>
          <t>W14</t>
        </is>
      </c>
      <c r="B665" s="46" t="n">
        <v>26</v>
      </c>
      <c r="C665" s="47" t="n">
        <v>58</v>
      </c>
      <c r="D665" s="47" t="n">
        <v>88.04</v>
      </c>
      <c r="E665" s="46" t="str">
        <f>IF(C665&lt;=72.0,"Y","N")</f>
        <v>Y</v>
      </c>
      <c r="F665" s="46">
        <f>IF(E665="Y",D665,"")</f>
        <v>88.04</v>
      </c>
    </row>
    <row r="666">
      <c r="A666" s="46" t="inlineStr">
        <is>
          <t>W14</t>
        </is>
      </c>
      <c r="B666" s="46" t="n">
        <v>27</v>
      </c>
      <c r="C666" s="47" t="n">
        <v>58</v>
      </c>
      <c r="D666" s="47" t="n">
        <v>88.61</v>
      </c>
      <c r="E666" s="46" t="str">
        <f>IF(C666&lt;=72.0,"Y","N")</f>
        <v>Y</v>
      </c>
      <c r="F666" s="46">
        <f>IF(E666="Y",D666,"")</f>
        <v>88.61</v>
      </c>
    </row>
    <row r="667">
      <c r="A667" s="46" t="inlineStr">
        <is>
          <t>W14</t>
        </is>
      </c>
      <c r="B667" s="46" t="n">
        <v>28</v>
      </c>
      <c r="C667" s="47" t="n">
        <v>58</v>
      </c>
      <c r="D667" s="47" t="n">
        <v>89.06</v>
      </c>
      <c r="E667" s="46" t="str">
        <f>IF(C667&lt;=72.0,"Y","N")</f>
        <v>Y</v>
      </c>
      <c r="F667" s="46">
        <f>IF(E667="Y",D667,"")</f>
        <v>89.06</v>
      </c>
    </row>
    <row r="668">
      <c r="A668" s="46" t="inlineStr">
        <is>
          <t>W14</t>
        </is>
      </c>
      <c r="B668" s="46" t="n">
        <v>29</v>
      </c>
      <c r="C668" s="47" t="n">
        <v>58</v>
      </c>
      <c r="D668" s="47" t="n">
        <v>88.7</v>
      </c>
      <c r="E668" s="46" t="str">
        <f>IF(C668&lt;=72.0,"Y","N")</f>
        <v>Y</v>
      </c>
      <c r="F668" s="46">
        <f>IF(E668="Y",D668,"")</f>
        <v>88.7</v>
      </c>
    </row>
    <row r="669">
      <c r="A669" s="46" t="inlineStr">
        <is>
          <t>W14</t>
        </is>
      </c>
      <c r="B669" s="46" t="n">
        <v>30</v>
      </c>
      <c r="C669" s="47" t="n">
        <v>58</v>
      </c>
      <c r="D669" s="47" t="n">
        <v>88.74</v>
      </c>
      <c r="E669" s="46" t="str">
        <f>IF(C669&lt;=72.0,"Y","N")</f>
        <v>Y</v>
      </c>
      <c r="F669" s="46">
        <f>IF(E669="Y",D669,"")</f>
        <v>88.74</v>
      </c>
    </row>
    <row r="670">
      <c r="A670" s="46" t="inlineStr">
        <is>
          <t>W14</t>
        </is>
      </c>
      <c r="B670" s="46" t="n">
        <v>31</v>
      </c>
      <c r="C670" s="47" t="n">
        <v>58</v>
      </c>
      <c r="D670" s="47" t="n">
        <v>88.28</v>
      </c>
      <c r="E670" s="46" t="str">
        <f>IF(C670&lt;=72.0,"Y","N")</f>
        <v>Y</v>
      </c>
      <c r="F670" s="46">
        <f>IF(E670="Y",D670,"")</f>
        <v>88.28</v>
      </c>
    </row>
    <row r="671">
      <c r="A671" s="46" t="inlineStr">
        <is>
          <t>W14</t>
        </is>
      </c>
      <c r="B671" s="46" t="n">
        <v>32</v>
      </c>
      <c r="C671" s="47" t="n">
        <v>58</v>
      </c>
      <c r="D671" s="47" t="n">
        <v>88.62</v>
      </c>
      <c r="E671" s="46" t="str">
        <f>IF(C671&lt;=72.0,"Y","N")</f>
        <v>Y</v>
      </c>
      <c r="F671" s="46">
        <f>IF(E671="Y",D671,"")</f>
        <v>88.62</v>
      </c>
    </row>
    <row r="672">
      <c r="A672" s="46" t="inlineStr">
        <is>
          <t>W14</t>
        </is>
      </c>
      <c r="B672" s="46" t="n">
        <v>33</v>
      </c>
      <c r="C672" s="47" t="n">
        <v>58</v>
      </c>
      <c r="D672" s="47" t="n">
        <v>88.9</v>
      </c>
      <c r="E672" s="46" t="str">
        <f>IF(C672&lt;=72.0,"Y","N")</f>
        <v>Y</v>
      </c>
      <c r="F672" s="46">
        <f>IF(E672="Y",D672,"")</f>
        <v>88.9</v>
      </c>
    </row>
    <row r="673">
      <c r="A673" s="46" t="inlineStr">
        <is>
          <t>W14</t>
        </is>
      </c>
      <c r="B673" s="46" t="n">
        <v>34</v>
      </c>
      <c r="C673" s="47" t="n">
        <v>73</v>
      </c>
      <c r="D673" s="47" t="n">
        <v>91.24</v>
      </c>
      <c r="E673" s="46" t="str">
        <f>IF(C673&lt;=72.0,"Y","N")</f>
        <v>N</v>
      </c>
      <c r="F673" s="46" t="str">
        <f>IF(E673="Y",D673,"")</f>
        <v/>
      </c>
    </row>
    <row r="674">
      <c r="A674" s="46" t="inlineStr">
        <is>
          <t>W14</t>
        </is>
      </c>
      <c r="B674" s="46" t="n">
        <v>35</v>
      </c>
      <c r="C674" s="47" t="n">
        <v>73</v>
      </c>
      <c r="D674" s="47" t="n">
        <v>92.02</v>
      </c>
      <c r="E674" s="46" t="str">
        <f>IF(C674&lt;=72.0,"Y","N")</f>
        <v>N</v>
      </c>
      <c r="F674" s="46" t="str">
        <f>IF(E674="Y",D674,"")</f>
        <v/>
      </c>
    </row>
    <row r="675">
      <c r="A675" s="46" t="inlineStr">
        <is>
          <t>W14</t>
        </is>
      </c>
      <c r="B675" s="46" t="n">
        <v>36</v>
      </c>
      <c r="C675" s="47" t="n">
        <v>73</v>
      </c>
      <c r="D675" s="47" t="n">
        <v>91.8</v>
      </c>
      <c r="E675" s="46" t="str">
        <f>IF(C675&lt;=72.0,"Y","N")</f>
        <v>N</v>
      </c>
      <c r="F675" s="46" t="str">
        <f>IF(E675="Y",D675,"")</f>
        <v/>
      </c>
    </row>
    <row r="676">
      <c r="A676" s="46" t="inlineStr">
        <is>
          <t>W14</t>
        </is>
      </c>
      <c r="B676" s="46" t="n">
        <v>37</v>
      </c>
      <c r="C676" s="47" t="n">
        <v>73</v>
      </c>
      <c r="D676" s="47" t="n">
        <v>91.92</v>
      </c>
      <c r="E676" s="46" t="str">
        <f>IF(C676&lt;=72.0,"Y","N")</f>
        <v>N</v>
      </c>
      <c r="F676" s="46" t="str">
        <f>IF(E676="Y",D676,"")</f>
        <v/>
      </c>
    </row>
    <row r="677">
      <c r="A677" s="46" t="inlineStr">
        <is>
          <t>W14</t>
        </is>
      </c>
      <c r="B677" s="46" t="n">
        <v>38</v>
      </c>
      <c r="C677" s="47" t="n">
        <v>73</v>
      </c>
      <c r="D677" s="47" t="n">
        <v>92.29</v>
      </c>
      <c r="E677" s="46" t="str">
        <f>IF(C677&lt;=72.0,"Y","N")</f>
        <v>N</v>
      </c>
      <c r="F677" s="46" t="str">
        <f>IF(E677="Y",D677,"")</f>
        <v/>
      </c>
    </row>
    <row r="678">
      <c r="A678" s="46" t="inlineStr">
        <is>
          <t>W14</t>
        </is>
      </c>
      <c r="B678" s="46" t="n">
        <v>39</v>
      </c>
      <c r="C678" s="47" t="n">
        <v>73</v>
      </c>
      <c r="D678" s="47" t="n">
        <v>91.28</v>
      </c>
      <c r="E678" s="46" t="str">
        <f>IF(C678&lt;=72.0,"Y","N")</f>
        <v>N</v>
      </c>
      <c r="F678" s="46" t="str">
        <f>IF(E678="Y",D678,"")</f>
        <v/>
      </c>
    </row>
    <row r="679">
      <c r="A679" s="46" t="inlineStr">
        <is>
          <t>W14</t>
        </is>
      </c>
      <c r="B679" s="46" t="n">
        <v>40</v>
      </c>
      <c r="C679" s="47" t="n">
        <v>73</v>
      </c>
      <c r="D679" s="47" t="n">
        <v>92.22</v>
      </c>
      <c r="E679" s="46" t="str">
        <f>IF(C679&lt;=72.0,"Y","N")</f>
        <v>N</v>
      </c>
      <c r="F679" s="46" t="str">
        <f>IF(E679="Y",D679,"")</f>
        <v/>
      </c>
    </row>
    <row r="680">
      <c r="A680" s="46" t="inlineStr">
        <is>
          <t>W14</t>
        </is>
      </c>
      <c r="B680" s="46" t="n">
        <v>41</v>
      </c>
      <c r="C680" s="47" t="n">
        <v>73</v>
      </c>
      <c r="D680" s="47" t="n">
        <v>92.03</v>
      </c>
      <c r="E680" s="46" t="str">
        <f>IF(C680&lt;=72.0,"Y","N")</f>
        <v>N</v>
      </c>
      <c r="F680" s="46" t="str">
        <f>IF(E680="Y",D680,"")</f>
        <v/>
      </c>
    </row>
    <row r="681">
      <c r="A681" s="46" t="inlineStr">
        <is>
          <t>W14</t>
        </is>
      </c>
      <c r="B681" s="46" t="n">
        <v>42</v>
      </c>
      <c r="C681" s="47" t="n">
        <v>73</v>
      </c>
      <c r="D681" s="47" t="n">
        <v>91.74</v>
      </c>
      <c r="E681" s="46" t="str">
        <f>IF(C681&lt;=72.0,"Y","N")</f>
        <v>N</v>
      </c>
      <c r="F681" s="46" t="str">
        <f>IF(E681="Y",D681,"")</f>
        <v/>
      </c>
    </row>
    <row r="682">
      <c r="A682" s="46" t="inlineStr">
        <is>
          <t>W14</t>
        </is>
      </c>
      <c r="B682" s="46" t="n">
        <v>43</v>
      </c>
      <c r="C682" s="47" t="n">
        <v>73</v>
      </c>
      <c r="D682" s="47" t="n">
        <v>92.21</v>
      </c>
      <c r="E682" s="46" t="str">
        <f>IF(C682&lt;=72.0,"Y","N")</f>
        <v>N</v>
      </c>
      <c r="F682" s="46" t="str">
        <f>IF(E682="Y",D682,"")</f>
        <v/>
      </c>
    </row>
    <row r="683">
      <c r="A683" s="46" t="inlineStr">
        <is>
          <t>W14</t>
        </is>
      </c>
      <c r="B683" s="46" t="n">
        <v>44</v>
      </c>
      <c r="C683" s="47" t="n">
        <v>73</v>
      </c>
      <c r="D683" s="47" t="n">
        <v>92.63</v>
      </c>
      <c r="E683" s="46" t="str">
        <f>IF(C683&lt;=72.0,"Y","N")</f>
        <v>N</v>
      </c>
      <c r="F683" s="46" t="str">
        <f>IF(E683="Y",D683,"")</f>
        <v/>
      </c>
    </row>
    <row r="684">
      <c r="A684" s="46" t="inlineStr">
        <is>
          <t>W14</t>
        </is>
      </c>
      <c r="B684" s="46" t="n">
        <v>45</v>
      </c>
      <c r="C684" s="47" t="n">
        <v>73</v>
      </c>
      <c r="D684" s="47" t="n">
        <v>92.32</v>
      </c>
      <c r="E684" s="46" t="str">
        <f>IF(C684&lt;=72.0,"Y","N")</f>
        <v>N</v>
      </c>
      <c r="F684" s="46" t="str">
        <f>IF(E684="Y",D684,"")</f>
        <v/>
      </c>
    </row>
    <row r="685">
      <c r="A685" s="46" t="inlineStr">
        <is>
          <t>W14</t>
        </is>
      </c>
      <c r="B685" s="46" t="n">
        <v>46</v>
      </c>
      <c r="C685" s="47" t="n">
        <v>73</v>
      </c>
      <c r="D685" s="47" t="n">
        <v>92.12</v>
      </c>
      <c r="E685" s="46" t="str">
        <f>IF(C685&lt;=72.0,"Y","N")</f>
        <v>N</v>
      </c>
      <c r="F685" s="46" t="str">
        <f>IF(E685="Y",D685,"")</f>
        <v/>
      </c>
    </row>
    <row r="686">
      <c r="A686" s="46" t="inlineStr">
        <is>
          <t>W14</t>
        </is>
      </c>
      <c r="B686" s="46" t="n">
        <v>47</v>
      </c>
      <c r="C686" s="47" t="n">
        <v>73</v>
      </c>
      <c r="D686" s="47" t="n">
        <v>91.51</v>
      </c>
      <c r="E686" s="46" t="str">
        <f>IF(C686&lt;=72.0,"Y","N")</f>
        <v>N</v>
      </c>
      <c r="F686" s="46" t="str">
        <f>IF(E686="Y",D686,"")</f>
        <v/>
      </c>
    </row>
    <row r="687">
      <c r="A687" s="46" t="inlineStr">
        <is>
          <t>W14</t>
        </is>
      </c>
      <c r="B687" s="46" t="n">
        <v>48</v>
      </c>
      <c r="C687" s="47" t="n">
        <v>73</v>
      </c>
      <c r="D687" s="47" t="n">
        <v>91.77</v>
      </c>
      <c r="E687" s="46" t="str">
        <f>IF(C687&lt;=72.0,"Y","N")</f>
        <v>N</v>
      </c>
      <c r="F687" s="46" t="str">
        <f>IF(E687="Y",D687,"")</f>
        <v/>
      </c>
    </row>
    <row r="688">
      <c r="A688" s="46" t="inlineStr">
        <is>
          <t>W14</t>
        </is>
      </c>
      <c r="B688" s="46" t="n">
        <v>49</v>
      </c>
      <c r="C688" s="47" t="n">
        <v>73</v>
      </c>
      <c r="D688" s="47" t="n">
        <v>91.69</v>
      </c>
      <c r="E688" s="46" t="str">
        <f>IF(C688&lt;=72.0,"Y","N")</f>
        <v>N</v>
      </c>
      <c r="F688" s="46" t="str">
        <f>IF(E688="Y",D688,"")</f>
        <v/>
      </c>
    </row>
    <row r="689">
      <c r="A689" s="46" t="inlineStr">
        <is>
          <t>W15</t>
        </is>
      </c>
      <c r="B689" s="46" t="n">
        <v>1</v>
      </c>
      <c r="C689" s="47" t="n">
        <v>0</v>
      </c>
      <c r="D689" s="47" t="n">
        <v>80.7</v>
      </c>
      <c r="E689" s="46" t="str">
        <f>IF(C689&lt;=72.0,"Y","N")</f>
        <v>Y</v>
      </c>
      <c r="F689" s="46">
        <f>IF(E689="Y",D689,"")</f>
        <v>80.7</v>
      </c>
    </row>
    <row r="690">
      <c r="A690" s="46" t="inlineStr">
        <is>
          <t>W15</t>
        </is>
      </c>
      <c r="B690" s="46" t="n">
        <v>2</v>
      </c>
      <c r="C690" s="47" t="n">
        <v>22</v>
      </c>
      <c r="D690" s="47" t="n">
        <v>81.91</v>
      </c>
      <c r="E690" s="46" t="str">
        <f>IF(C690&lt;=72.0,"Y","N")</f>
        <v>Y</v>
      </c>
      <c r="F690" s="46">
        <f>IF(E690="Y",D690,"")</f>
        <v>81.91</v>
      </c>
    </row>
    <row r="691">
      <c r="A691" s="46" t="inlineStr">
        <is>
          <t>W15</t>
        </is>
      </c>
      <c r="B691" s="46" t="n">
        <v>3</v>
      </c>
      <c r="C691" s="47" t="n">
        <v>22</v>
      </c>
      <c r="D691" s="47" t="n">
        <v>82.39</v>
      </c>
      <c r="E691" s="46" t="str">
        <f>IF(C691&lt;=72.0,"Y","N")</f>
        <v>Y</v>
      </c>
      <c r="F691" s="46">
        <f>IF(E691="Y",D691,"")</f>
        <v>82.39</v>
      </c>
    </row>
    <row r="692">
      <c r="A692" s="46" t="inlineStr">
        <is>
          <t>W15</t>
        </is>
      </c>
      <c r="B692" s="46" t="n">
        <v>4</v>
      </c>
      <c r="C692" s="47" t="n">
        <v>22</v>
      </c>
      <c r="D692" s="47" t="n">
        <v>81.28</v>
      </c>
      <c r="E692" s="46" t="str">
        <f>IF(C692&lt;=72.0,"Y","N")</f>
        <v>Y</v>
      </c>
      <c r="F692" s="46">
        <f>IF(E692="Y",D692,"")</f>
        <v>81.28</v>
      </c>
    </row>
    <row r="693">
      <c r="A693" s="46" t="inlineStr">
        <is>
          <t>W15</t>
        </is>
      </c>
      <c r="B693" s="46" t="n">
        <v>5</v>
      </c>
      <c r="C693" s="47" t="n">
        <v>22</v>
      </c>
      <c r="D693" s="47" t="n">
        <v>81.35</v>
      </c>
      <c r="E693" s="46" t="str">
        <f>IF(C693&lt;=72.0,"Y","N")</f>
        <v>Y</v>
      </c>
      <c r="F693" s="46">
        <f>IF(E693="Y",D693,"")</f>
        <v>81.35</v>
      </c>
    </row>
    <row r="694">
      <c r="A694" s="46" t="inlineStr">
        <is>
          <t>W15</t>
        </is>
      </c>
      <c r="B694" s="46" t="n">
        <v>6</v>
      </c>
      <c r="C694" s="47" t="n">
        <v>22</v>
      </c>
      <c r="D694" s="47" t="n">
        <v>81.86</v>
      </c>
      <c r="E694" s="46" t="str">
        <f>IF(C694&lt;=72.0,"Y","N")</f>
        <v>Y</v>
      </c>
      <c r="F694" s="46">
        <f>IF(E694="Y",D694,"")</f>
        <v>81.86</v>
      </c>
    </row>
    <row r="695">
      <c r="A695" s="46" t="inlineStr">
        <is>
          <t>W15</t>
        </is>
      </c>
      <c r="B695" s="46" t="n">
        <v>7</v>
      </c>
      <c r="C695" s="47" t="n">
        <v>22</v>
      </c>
      <c r="D695" s="47" t="n">
        <v>81.29</v>
      </c>
      <c r="E695" s="46" t="str">
        <f>IF(C695&lt;=72.0,"Y","N")</f>
        <v>Y</v>
      </c>
      <c r="F695" s="46">
        <f>IF(E695="Y",D695,"")</f>
        <v>81.29</v>
      </c>
    </row>
    <row r="696">
      <c r="A696" s="46" t="inlineStr">
        <is>
          <t>W15</t>
        </is>
      </c>
      <c r="B696" s="46" t="n">
        <v>8</v>
      </c>
      <c r="C696" s="47" t="n">
        <v>22</v>
      </c>
      <c r="D696" s="47" t="n">
        <v>81.83</v>
      </c>
      <c r="E696" s="46" t="str">
        <f>IF(C696&lt;=72.0,"Y","N")</f>
        <v>Y</v>
      </c>
      <c r="F696" s="46">
        <f>IF(E696="Y",D696,"")</f>
        <v>81.83</v>
      </c>
    </row>
    <row r="697">
      <c r="A697" s="46" t="inlineStr">
        <is>
          <t>W15</t>
        </is>
      </c>
      <c r="B697" s="46" t="n">
        <v>9</v>
      </c>
      <c r="C697" s="47" t="n">
        <v>22</v>
      </c>
      <c r="D697" s="47" t="n">
        <v>82.49</v>
      </c>
      <c r="E697" s="46" t="str">
        <f>IF(C697&lt;=72.0,"Y","N")</f>
        <v>Y</v>
      </c>
      <c r="F697" s="46">
        <f>IF(E697="Y",D697,"")</f>
        <v>82.49</v>
      </c>
    </row>
    <row r="698">
      <c r="A698" s="46" t="inlineStr">
        <is>
          <t>W15</t>
        </is>
      </c>
      <c r="B698" s="46" t="n">
        <v>10</v>
      </c>
      <c r="C698" s="47" t="n">
        <v>40</v>
      </c>
      <c r="D698" s="47" t="n">
        <v>83.64</v>
      </c>
      <c r="E698" s="46" t="str">
        <f>IF(C698&lt;=72.0,"Y","N")</f>
        <v>Y</v>
      </c>
      <c r="F698" s="46">
        <f>IF(E698="Y",D698,"")</f>
        <v>83.64</v>
      </c>
    </row>
    <row r="699">
      <c r="A699" s="46" t="inlineStr">
        <is>
          <t>W15</t>
        </is>
      </c>
      <c r="B699" s="46" t="n">
        <v>11</v>
      </c>
      <c r="C699" s="47" t="n">
        <v>40</v>
      </c>
      <c r="D699" s="47" t="n">
        <v>83.58</v>
      </c>
      <c r="E699" s="46" t="str">
        <f>IF(C699&lt;=72.0,"Y","N")</f>
        <v>Y</v>
      </c>
      <c r="F699" s="46">
        <f>IF(E699="Y",D699,"")</f>
        <v>83.58</v>
      </c>
    </row>
    <row r="700">
      <c r="A700" s="46" t="inlineStr">
        <is>
          <t>W15</t>
        </is>
      </c>
      <c r="B700" s="46" t="n">
        <v>12</v>
      </c>
      <c r="C700" s="47" t="n">
        <v>40</v>
      </c>
      <c r="D700" s="47" t="n">
        <v>83.91</v>
      </c>
      <c r="E700" s="46" t="str">
        <f>IF(C700&lt;=72.0,"Y","N")</f>
        <v>Y</v>
      </c>
      <c r="F700" s="46">
        <f>IF(E700="Y",D700,"")</f>
        <v>83.91</v>
      </c>
    </row>
    <row r="701">
      <c r="A701" s="46" t="inlineStr">
        <is>
          <t>W15</t>
        </is>
      </c>
      <c r="B701" s="46" t="n">
        <v>13</v>
      </c>
      <c r="C701" s="47" t="n">
        <v>40</v>
      </c>
      <c r="D701" s="47" t="n">
        <v>84.6</v>
      </c>
      <c r="E701" s="46" t="str">
        <f>IF(C701&lt;=72.0,"Y","N")</f>
        <v>Y</v>
      </c>
      <c r="F701" s="46">
        <f>IF(E701="Y",D701,"")</f>
        <v>84.6</v>
      </c>
    </row>
    <row r="702">
      <c r="A702" s="46" t="inlineStr">
        <is>
          <t>W15</t>
        </is>
      </c>
      <c r="B702" s="46" t="n">
        <v>14</v>
      </c>
      <c r="C702" s="47" t="n">
        <v>40</v>
      </c>
      <c r="D702" s="47" t="n">
        <v>83.3</v>
      </c>
      <c r="E702" s="46" t="str">
        <f>IF(C702&lt;=72.0,"Y","N")</f>
        <v>Y</v>
      </c>
      <c r="F702" s="46">
        <f>IF(E702="Y",D702,"")</f>
        <v>83.3</v>
      </c>
    </row>
    <row r="703">
      <c r="A703" s="46" t="inlineStr">
        <is>
          <t>W15</t>
        </is>
      </c>
      <c r="B703" s="46" t="n">
        <v>15</v>
      </c>
      <c r="C703" s="47" t="n">
        <v>40</v>
      </c>
      <c r="D703" s="47" t="n">
        <v>83.97</v>
      </c>
      <c r="E703" s="46" t="str">
        <f>IF(C703&lt;=72.0,"Y","N")</f>
        <v>Y</v>
      </c>
      <c r="F703" s="46">
        <f>IF(E703="Y",D703,"")</f>
        <v>83.97</v>
      </c>
    </row>
    <row r="704">
      <c r="A704" s="46" t="inlineStr">
        <is>
          <t>W15</t>
        </is>
      </c>
      <c r="B704" s="46" t="n">
        <v>16</v>
      </c>
      <c r="C704" s="47" t="n">
        <v>40</v>
      </c>
      <c r="D704" s="47" t="n">
        <v>84.19</v>
      </c>
      <c r="E704" s="46" t="str">
        <f>IF(C704&lt;=72.0,"Y","N")</f>
        <v>Y</v>
      </c>
      <c r="F704" s="46">
        <f>IF(E704="Y",D704,"")</f>
        <v>84.19</v>
      </c>
    </row>
    <row r="705">
      <c r="A705" s="46" t="inlineStr">
        <is>
          <t>W15</t>
        </is>
      </c>
      <c r="B705" s="46" t="n">
        <v>17</v>
      </c>
      <c r="C705" s="47" t="n">
        <v>40</v>
      </c>
      <c r="D705" s="47" t="n">
        <v>83.73</v>
      </c>
      <c r="E705" s="46" t="str">
        <f>IF(C705&lt;=72.0,"Y","N")</f>
        <v>Y</v>
      </c>
      <c r="F705" s="46">
        <f>IF(E705="Y",D705,"")</f>
        <v>83.73</v>
      </c>
    </row>
    <row r="706">
      <c r="A706" s="46" t="inlineStr">
        <is>
          <t>W15</t>
        </is>
      </c>
      <c r="B706" s="46" t="n">
        <v>18</v>
      </c>
      <c r="C706" s="47" t="n">
        <v>40</v>
      </c>
      <c r="D706" s="47" t="n">
        <v>83.47</v>
      </c>
      <c r="E706" s="46" t="str">
        <f>IF(C706&lt;=72.0,"Y","N")</f>
        <v>Y</v>
      </c>
      <c r="F706" s="46">
        <f>IF(E706="Y",D706,"")</f>
        <v>83.47</v>
      </c>
    </row>
    <row r="707">
      <c r="A707" s="46" t="inlineStr">
        <is>
          <t>W15</t>
        </is>
      </c>
      <c r="B707" s="46" t="n">
        <v>19</v>
      </c>
      <c r="C707" s="47" t="n">
        <v>40</v>
      </c>
      <c r="D707" s="47" t="n">
        <v>84.55</v>
      </c>
      <c r="E707" s="46" t="str">
        <f>IF(C707&lt;=72.0,"Y","N")</f>
        <v>Y</v>
      </c>
      <c r="F707" s="46">
        <f>IF(E707="Y",D707,"")</f>
        <v>84.55</v>
      </c>
    </row>
    <row r="708">
      <c r="A708" s="46" t="inlineStr">
        <is>
          <t>W15</t>
        </is>
      </c>
      <c r="B708" s="46" t="n">
        <v>20</v>
      </c>
      <c r="C708" s="47" t="n">
        <v>40</v>
      </c>
      <c r="D708" s="47" t="n">
        <v>84.32</v>
      </c>
      <c r="E708" s="46" t="str">
        <f>IF(C708&lt;=72.0,"Y","N")</f>
        <v>Y</v>
      </c>
      <c r="F708" s="46">
        <f>IF(E708="Y",D708,"")</f>
        <v>84.32</v>
      </c>
    </row>
    <row r="709">
      <c r="A709" s="46" t="inlineStr">
        <is>
          <t>W15</t>
        </is>
      </c>
      <c r="B709" s="46" t="n">
        <v>21</v>
      </c>
      <c r="C709" s="47" t="n">
        <v>40</v>
      </c>
      <c r="D709" s="47" t="n">
        <v>83.42</v>
      </c>
      <c r="E709" s="46" t="str">
        <f>IF(C709&lt;=72.0,"Y","N")</f>
        <v>Y</v>
      </c>
      <c r="F709" s="46">
        <f>IF(E709="Y",D709,"")</f>
        <v>83.42</v>
      </c>
    </row>
    <row r="710">
      <c r="A710" s="46" t="inlineStr">
        <is>
          <t>W15</t>
        </is>
      </c>
      <c r="B710" s="46" t="n">
        <v>22</v>
      </c>
      <c r="C710" s="47" t="n">
        <v>58</v>
      </c>
      <c r="D710" s="47" t="n">
        <v>87.42</v>
      </c>
      <c r="E710" s="46" t="str">
        <f>IF(C710&lt;=72.0,"Y","N")</f>
        <v>Y</v>
      </c>
      <c r="F710" s="46">
        <f>IF(E710="Y",D710,"")</f>
        <v>87.42</v>
      </c>
    </row>
    <row r="711">
      <c r="A711" s="46" t="inlineStr">
        <is>
          <t>W15</t>
        </is>
      </c>
      <c r="B711" s="46" t="n">
        <v>23</v>
      </c>
      <c r="C711" s="47" t="n">
        <v>58</v>
      </c>
      <c r="D711" s="47" t="n">
        <v>86.78</v>
      </c>
      <c r="E711" s="46" t="str">
        <f>IF(C711&lt;=72.0,"Y","N")</f>
        <v>Y</v>
      </c>
      <c r="F711" s="46">
        <f>IF(E711="Y",D711,"")</f>
        <v>86.78</v>
      </c>
    </row>
    <row r="712">
      <c r="A712" s="46" t="inlineStr">
        <is>
          <t>W15</t>
        </is>
      </c>
      <c r="B712" s="46" t="n">
        <v>24</v>
      </c>
      <c r="C712" s="47" t="n">
        <v>58</v>
      </c>
      <c r="D712" s="47" t="n">
        <v>87.1</v>
      </c>
      <c r="E712" s="46" t="str">
        <f>IF(C712&lt;=72.0,"Y","N")</f>
        <v>Y</v>
      </c>
      <c r="F712" s="46">
        <f>IF(E712="Y",D712,"")</f>
        <v>87.1</v>
      </c>
    </row>
    <row r="713">
      <c r="A713" s="46" t="inlineStr">
        <is>
          <t>W15</t>
        </is>
      </c>
      <c r="B713" s="46" t="n">
        <v>25</v>
      </c>
      <c r="C713" s="47" t="n">
        <v>58</v>
      </c>
      <c r="D713" s="47" t="n">
        <v>86.65</v>
      </c>
      <c r="E713" s="46" t="str">
        <f>IF(C713&lt;=72.0,"Y","N")</f>
        <v>Y</v>
      </c>
      <c r="F713" s="46">
        <f>IF(E713="Y",D713,"")</f>
        <v>86.65</v>
      </c>
    </row>
    <row r="714">
      <c r="A714" s="46" t="inlineStr">
        <is>
          <t>W15</t>
        </is>
      </c>
      <c r="B714" s="46" t="n">
        <v>26</v>
      </c>
      <c r="C714" s="47" t="n">
        <v>58</v>
      </c>
      <c r="D714" s="47" t="n">
        <v>86.94</v>
      </c>
      <c r="E714" s="46" t="str">
        <f>IF(C714&lt;=72.0,"Y","N")</f>
        <v>Y</v>
      </c>
      <c r="F714" s="46">
        <f>IF(E714="Y",D714,"")</f>
        <v>86.94</v>
      </c>
    </row>
    <row r="715">
      <c r="A715" s="46" t="inlineStr">
        <is>
          <t>W15</t>
        </is>
      </c>
      <c r="B715" s="46" t="n">
        <v>27</v>
      </c>
      <c r="C715" s="47" t="n">
        <v>58</v>
      </c>
      <c r="D715" s="47" t="n">
        <v>87.02</v>
      </c>
      <c r="E715" s="46" t="str">
        <f>IF(C715&lt;=72.0,"Y","N")</f>
        <v>Y</v>
      </c>
      <c r="F715" s="46">
        <f>IF(E715="Y",D715,"")</f>
        <v>87.02</v>
      </c>
    </row>
    <row r="716">
      <c r="A716" s="46" t="inlineStr">
        <is>
          <t>W15</t>
        </is>
      </c>
      <c r="B716" s="46" t="n">
        <v>28</v>
      </c>
      <c r="C716" s="47" t="n">
        <v>58</v>
      </c>
      <c r="D716" s="47" t="n">
        <v>87.23</v>
      </c>
      <c r="E716" s="46" t="str">
        <f>IF(C716&lt;=72.0,"Y","N")</f>
        <v>Y</v>
      </c>
      <c r="F716" s="46">
        <f>IF(E716="Y",D716,"")</f>
        <v>87.23</v>
      </c>
    </row>
    <row r="717">
      <c r="A717" s="46" t="inlineStr">
        <is>
          <t>W15</t>
        </is>
      </c>
      <c r="B717" s="46" t="n">
        <v>29</v>
      </c>
      <c r="C717" s="47" t="n">
        <v>58</v>
      </c>
      <c r="D717" s="47" t="n">
        <v>87.76</v>
      </c>
      <c r="E717" s="46" t="str">
        <f>IF(C717&lt;=72.0,"Y","N")</f>
        <v>Y</v>
      </c>
      <c r="F717" s="46">
        <f>IF(E717="Y",D717,"")</f>
        <v>87.76</v>
      </c>
    </row>
    <row r="718">
      <c r="A718" s="46" t="inlineStr">
        <is>
          <t>W15</t>
        </is>
      </c>
      <c r="B718" s="46" t="n">
        <v>30</v>
      </c>
      <c r="C718" s="47" t="n">
        <v>58</v>
      </c>
      <c r="D718" s="47" t="n">
        <v>87.55</v>
      </c>
      <c r="E718" s="46" t="str">
        <f>IF(C718&lt;=72.0,"Y","N")</f>
        <v>Y</v>
      </c>
      <c r="F718" s="46">
        <f>IF(E718="Y",D718,"")</f>
        <v>87.55</v>
      </c>
    </row>
    <row r="719">
      <c r="A719" s="46" t="inlineStr">
        <is>
          <t>W15</t>
        </is>
      </c>
      <c r="B719" s="46" t="n">
        <v>31</v>
      </c>
      <c r="C719" s="47" t="n">
        <v>58</v>
      </c>
      <c r="D719" s="47" t="n">
        <v>86.7</v>
      </c>
      <c r="E719" s="46" t="str">
        <f>IF(C719&lt;=72.0,"Y","N")</f>
        <v>Y</v>
      </c>
      <c r="F719" s="46">
        <f>IF(E719="Y",D719,"")</f>
        <v>86.7</v>
      </c>
    </row>
    <row r="720">
      <c r="A720" s="46" t="inlineStr">
        <is>
          <t>W15</t>
        </is>
      </c>
      <c r="B720" s="46" t="n">
        <v>32</v>
      </c>
      <c r="C720" s="47" t="n">
        <v>58</v>
      </c>
      <c r="D720" s="47" t="n">
        <v>86.78</v>
      </c>
      <c r="E720" s="46" t="str">
        <f>IF(C720&lt;=72.0,"Y","N")</f>
        <v>Y</v>
      </c>
      <c r="F720" s="46">
        <f>IF(E720="Y",D720,"")</f>
        <v>86.78</v>
      </c>
    </row>
    <row r="721">
      <c r="A721" s="46" t="inlineStr">
        <is>
          <t>W15</t>
        </is>
      </c>
      <c r="B721" s="46" t="n">
        <v>33</v>
      </c>
      <c r="C721" s="47" t="n">
        <v>58</v>
      </c>
      <c r="D721" s="47" t="n">
        <v>87.58</v>
      </c>
      <c r="E721" s="46" t="str">
        <f>IF(C721&lt;=72.0,"Y","N")</f>
        <v>Y</v>
      </c>
      <c r="F721" s="46">
        <f>IF(E721="Y",D721,"")</f>
        <v>87.58</v>
      </c>
    </row>
    <row r="722">
      <c r="A722" s="46" t="inlineStr">
        <is>
          <t>W15</t>
        </is>
      </c>
      <c r="B722" s="46" t="n">
        <v>34</v>
      </c>
      <c r="C722" s="47" t="n">
        <v>73</v>
      </c>
      <c r="D722" s="47" t="n">
        <v>90.63</v>
      </c>
      <c r="E722" s="46" t="str">
        <f>IF(C722&lt;=72.0,"Y","N")</f>
        <v>N</v>
      </c>
      <c r="F722" s="46" t="str">
        <f>IF(E722="Y",D722,"")</f>
        <v/>
      </c>
    </row>
    <row r="723">
      <c r="A723" s="46" t="inlineStr">
        <is>
          <t>W15</t>
        </is>
      </c>
      <c r="B723" s="46" t="n">
        <v>35</v>
      </c>
      <c r="C723" s="47" t="n">
        <v>73</v>
      </c>
      <c r="D723" s="47" t="n">
        <v>89.75</v>
      </c>
      <c r="E723" s="46" t="str">
        <f>IF(C723&lt;=72.0,"Y","N")</f>
        <v>N</v>
      </c>
      <c r="F723" s="46" t="str">
        <f>IF(E723="Y",D723,"")</f>
        <v/>
      </c>
    </row>
    <row r="724">
      <c r="A724" s="46" t="inlineStr">
        <is>
          <t>W15</t>
        </is>
      </c>
      <c r="B724" s="46" t="n">
        <v>36</v>
      </c>
      <c r="C724" s="47" t="n">
        <v>73</v>
      </c>
      <c r="D724" s="47" t="n">
        <v>90.28</v>
      </c>
      <c r="E724" s="46" t="str">
        <f>IF(C724&lt;=72.0,"Y","N")</f>
        <v>N</v>
      </c>
      <c r="F724" s="46" t="str">
        <f>IF(E724="Y",D724,"")</f>
        <v/>
      </c>
    </row>
    <row r="725">
      <c r="A725" s="46" t="inlineStr">
        <is>
          <t>W15</t>
        </is>
      </c>
      <c r="B725" s="46" t="n">
        <v>37</v>
      </c>
      <c r="C725" s="47" t="n">
        <v>73</v>
      </c>
      <c r="D725" s="47" t="n">
        <v>90.29</v>
      </c>
      <c r="E725" s="46" t="str">
        <f>IF(C725&lt;=72.0,"Y","N")</f>
        <v>N</v>
      </c>
      <c r="F725" s="46" t="str">
        <f>IF(E725="Y",D725,"")</f>
        <v/>
      </c>
    </row>
    <row r="726">
      <c r="A726" s="46" t="inlineStr">
        <is>
          <t>W15</t>
        </is>
      </c>
      <c r="B726" s="46" t="n">
        <v>38</v>
      </c>
      <c r="C726" s="47" t="n">
        <v>73</v>
      </c>
      <c r="D726" s="47" t="n">
        <v>90.5</v>
      </c>
      <c r="E726" s="46" t="str">
        <f>IF(C726&lt;=72.0,"Y","N")</f>
        <v>N</v>
      </c>
      <c r="F726" s="46" t="str">
        <f>IF(E726="Y",D726,"")</f>
        <v/>
      </c>
    </row>
    <row r="727">
      <c r="A727" s="46" t="inlineStr">
        <is>
          <t>W15</t>
        </is>
      </c>
      <c r="B727" s="46" t="n">
        <v>39</v>
      </c>
      <c r="C727" s="47" t="n">
        <v>73</v>
      </c>
      <c r="D727" s="47" t="n">
        <v>90.68</v>
      </c>
      <c r="E727" s="46" t="str">
        <f>IF(C727&lt;=72.0,"Y","N")</f>
        <v>N</v>
      </c>
      <c r="F727" s="46" t="str">
        <f>IF(E727="Y",D727,"")</f>
        <v/>
      </c>
    </row>
    <row r="728">
      <c r="A728" s="46" t="inlineStr">
        <is>
          <t>W15</t>
        </is>
      </c>
      <c r="B728" s="46" t="n">
        <v>40</v>
      </c>
      <c r="C728" s="47" t="n">
        <v>73</v>
      </c>
      <c r="D728" s="47" t="n">
        <v>90.51</v>
      </c>
      <c r="E728" s="46" t="str">
        <f>IF(C728&lt;=72.0,"Y","N")</f>
        <v>N</v>
      </c>
      <c r="F728" s="46" t="str">
        <f>IF(E728="Y",D728,"")</f>
        <v/>
      </c>
    </row>
    <row r="729">
      <c r="A729" s="46" t="inlineStr">
        <is>
          <t>W15</t>
        </is>
      </c>
      <c r="B729" s="46" t="n">
        <v>41</v>
      </c>
      <c r="C729" s="47" t="n">
        <v>73</v>
      </c>
      <c r="D729" s="47" t="n">
        <v>90.61</v>
      </c>
      <c r="E729" s="46" t="str">
        <f>IF(C729&lt;=72.0,"Y","N")</f>
        <v>N</v>
      </c>
      <c r="F729" s="46" t="str">
        <f>IF(E729="Y",D729,"")</f>
        <v/>
      </c>
    </row>
    <row r="730">
      <c r="A730" s="46" t="inlineStr">
        <is>
          <t>W15</t>
        </is>
      </c>
      <c r="B730" s="46" t="n">
        <v>42</v>
      </c>
      <c r="C730" s="47" t="n">
        <v>73</v>
      </c>
      <c r="D730" s="47" t="n">
        <v>91.15</v>
      </c>
      <c r="E730" s="46" t="str">
        <f>IF(C730&lt;=72.0,"Y","N")</f>
        <v>N</v>
      </c>
      <c r="F730" s="46" t="str">
        <f>IF(E730="Y",D730,"")</f>
        <v/>
      </c>
    </row>
    <row r="731">
      <c r="A731" s="46" t="inlineStr">
        <is>
          <t>W15</t>
        </is>
      </c>
      <c r="B731" s="46" t="n">
        <v>43</v>
      </c>
      <c r="C731" s="47" t="n">
        <v>73</v>
      </c>
      <c r="D731" s="47" t="n">
        <v>90.71</v>
      </c>
      <c r="E731" s="46" t="str">
        <f>IF(C731&lt;=72.0,"Y","N")</f>
        <v>N</v>
      </c>
      <c r="F731" s="46" t="str">
        <f>IF(E731="Y",D731,"")</f>
        <v/>
      </c>
    </row>
    <row r="732">
      <c r="A732" s="46" t="inlineStr">
        <is>
          <t>W15</t>
        </is>
      </c>
      <c r="B732" s="46" t="n">
        <v>44</v>
      </c>
      <c r="C732" s="47" t="n">
        <v>73</v>
      </c>
      <c r="D732" s="47" t="n">
        <v>89.91</v>
      </c>
      <c r="E732" s="46" t="str">
        <f>IF(C732&lt;=72.0,"Y","N")</f>
        <v>N</v>
      </c>
      <c r="F732" s="46" t="str">
        <f>IF(E732="Y",D732,"")</f>
        <v/>
      </c>
    </row>
    <row r="733">
      <c r="A733" s="46" t="inlineStr">
        <is>
          <t>W15</t>
        </is>
      </c>
      <c r="B733" s="46" t="n">
        <v>45</v>
      </c>
      <c r="C733" s="47" t="n">
        <v>73</v>
      </c>
      <c r="D733" s="47" t="n">
        <v>91.17</v>
      </c>
      <c r="E733" s="46" t="str">
        <f>IF(C733&lt;=72.0,"Y","N")</f>
        <v>N</v>
      </c>
      <c r="F733" s="46" t="str">
        <f>IF(E733="Y",D733,"")</f>
        <v/>
      </c>
    </row>
    <row r="734">
      <c r="A734" s="46" t="inlineStr">
        <is>
          <t>W15</t>
        </is>
      </c>
      <c r="B734" s="46" t="n">
        <v>46</v>
      </c>
      <c r="C734" s="47" t="n">
        <v>73</v>
      </c>
      <c r="D734" s="47" t="n">
        <v>90.82</v>
      </c>
      <c r="E734" s="46" t="str">
        <f>IF(C734&lt;=72.0,"Y","N")</f>
        <v>N</v>
      </c>
      <c r="F734" s="46" t="str">
        <f>IF(E734="Y",D734,"")</f>
        <v/>
      </c>
    </row>
    <row r="735">
      <c r="A735" s="46" t="inlineStr">
        <is>
          <t>W15</t>
        </is>
      </c>
      <c r="B735" s="46" t="n">
        <v>47</v>
      </c>
      <c r="C735" s="47" t="n">
        <v>73</v>
      </c>
      <c r="D735" s="47" t="n">
        <v>91.02</v>
      </c>
      <c r="E735" s="46" t="str">
        <f>IF(C735&lt;=72.0,"Y","N")</f>
        <v>N</v>
      </c>
      <c r="F735" s="46" t="str">
        <f>IF(E735="Y",D735,"")</f>
        <v/>
      </c>
    </row>
    <row r="736">
      <c r="A736" s="46" t="inlineStr">
        <is>
          <t>W15</t>
        </is>
      </c>
      <c r="B736" s="46" t="n">
        <v>48</v>
      </c>
      <c r="C736" s="47" t="n">
        <v>73</v>
      </c>
      <c r="D736" s="47" t="n">
        <v>90.29</v>
      </c>
      <c r="E736" s="46" t="str">
        <f>IF(C736&lt;=72.0,"Y","N")</f>
        <v>N</v>
      </c>
      <c r="F736" s="46" t="str">
        <f>IF(E736="Y",D736,"")</f>
        <v/>
      </c>
    </row>
    <row r="737">
      <c r="A737" s="46" t="inlineStr">
        <is>
          <t>W15</t>
        </is>
      </c>
      <c r="B737" s="46" t="n">
        <v>49</v>
      </c>
      <c r="C737" s="47" t="n">
        <v>73</v>
      </c>
      <c r="D737" s="47" t="n">
        <v>90.57</v>
      </c>
      <c r="E737" s="46" t="str">
        <f>IF(C737&lt;=72.0,"Y","N")</f>
        <v>N</v>
      </c>
      <c r="F737" s="46" t="str">
        <f>IF(E737="Y",D737,"")</f>
        <v/>
      </c>
    </row>
    <row r="738">
      <c r="A738" s="46" t="inlineStr">
        <is>
          <t>W16</t>
        </is>
      </c>
      <c r="B738" s="46" t="n">
        <v>1</v>
      </c>
      <c r="C738" s="47" t="n">
        <v>0</v>
      </c>
      <c r="D738" s="47" t="n">
        <v>82.58</v>
      </c>
      <c r="E738" s="46" t="str">
        <f>IF(C738&lt;=72.0,"Y","N")</f>
        <v>Y</v>
      </c>
      <c r="F738" s="46">
        <f>IF(E738="Y",D738,"")</f>
        <v>82.58</v>
      </c>
    </row>
    <row r="739">
      <c r="A739" s="46" t="inlineStr">
        <is>
          <t>W16</t>
        </is>
      </c>
      <c r="B739" s="46" t="n">
        <v>2</v>
      </c>
      <c r="C739" s="47" t="n">
        <v>22</v>
      </c>
      <c r="D739" s="47" t="n">
        <v>83.16</v>
      </c>
      <c r="E739" s="46" t="str">
        <f>IF(C739&lt;=72.0,"Y","N")</f>
        <v>Y</v>
      </c>
      <c r="F739" s="46">
        <f>IF(E739="Y",D739,"")</f>
        <v>83.16</v>
      </c>
    </row>
    <row r="740">
      <c r="A740" s="46" t="inlineStr">
        <is>
          <t>W16</t>
        </is>
      </c>
      <c r="B740" s="46" t="n">
        <v>3</v>
      </c>
      <c r="C740" s="47" t="n">
        <v>22</v>
      </c>
      <c r="D740" s="47" t="n">
        <v>83.46</v>
      </c>
      <c r="E740" s="46" t="str">
        <f>IF(C740&lt;=72.0,"Y","N")</f>
        <v>Y</v>
      </c>
      <c r="F740" s="46">
        <f>IF(E740="Y",D740,"")</f>
        <v>83.46</v>
      </c>
    </row>
    <row r="741">
      <c r="A741" s="46" t="inlineStr">
        <is>
          <t>W16</t>
        </is>
      </c>
      <c r="B741" s="46" t="n">
        <v>4</v>
      </c>
      <c r="C741" s="47" t="n">
        <v>22</v>
      </c>
      <c r="D741" s="47" t="n">
        <v>82.82</v>
      </c>
      <c r="E741" s="46" t="str">
        <f>IF(C741&lt;=72.0,"Y","N")</f>
        <v>Y</v>
      </c>
      <c r="F741" s="46">
        <f>IF(E741="Y",D741,"")</f>
        <v>82.82</v>
      </c>
    </row>
    <row r="742">
      <c r="A742" s="46" t="inlineStr">
        <is>
          <t>W16</t>
        </is>
      </c>
      <c r="B742" s="46" t="n">
        <v>5</v>
      </c>
      <c r="C742" s="47" t="n">
        <v>22</v>
      </c>
      <c r="D742" s="47" t="n">
        <v>82.29</v>
      </c>
      <c r="E742" s="46" t="str">
        <f>IF(C742&lt;=72.0,"Y","N")</f>
        <v>Y</v>
      </c>
      <c r="F742" s="46">
        <f>IF(E742="Y",D742,"")</f>
        <v>82.29</v>
      </c>
    </row>
    <row r="743">
      <c r="A743" s="46" t="inlineStr">
        <is>
          <t>W16</t>
        </is>
      </c>
      <c r="B743" s="46" t="n">
        <v>6</v>
      </c>
      <c r="C743" s="47" t="n">
        <v>22</v>
      </c>
      <c r="D743" s="47" t="n">
        <v>83.5</v>
      </c>
      <c r="E743" s="46" t="str">
        <f>IF(C743&lt;=72.0,"Y","N")</f>
        <v>Y</v>
      </c>
      <c r="F743" s="46">
        <f>IF(E743="Y",D743,"")</f>
        <v>83.5</v>
      </c>
    </row>
    <row r="744">
      <c r="A744" s="46" t="inlineStr">
        <is>
          <t>W16</t>
        </is>
      </c>
      <c r="B744" s="46" t="n">
        <v>7</v>
      </c>
      <c r="C744" s="47" t="n">
        <v>22</v>
      </c>
      <c r="D744" s="47" t="n">
        <v>82.29</v>
      </c>
      <c r="E744" s="46" t="str">
        <f>IF(C744&lt;=72.0,"Y","N")</f>
        <v>Y</v>
      </c>
      <c r="F744" s="46">
        <f>IF(E744="Y",D744,"")</f>
        <v>82.29</v>
      </c>
    </row>
    <row r="745">
      <c r="A745" s="46" t="inlineStr">
        <is>
          <t>W16</t>
        </is>
      </c>
      <c r="B745" s="46" t="n">
        <v>8</v>
      </c>
      <c r="C745" s="47" t="n">
        <v>22</v>
      </c>
      <c r="D745" s="47" t="n">
        <v>83.01</v>
      </c>
      <c r="E745" s="46" t="str">
        <f>IF(C745&lt;=72.0,"Y","N")</f>
        <v>Y</v>
      </c>
      <c r="F745" s="46">
        <f>IF(E745="Y",D745,"")</f>
        <v>83.01</v>
      </c>
    </row>
    <row r="746">
      <c r="A746" s="46" t="inlineStr">
        <is>
          <t>W16</t>
        </is>
      </c>
      <c r="B746" s="46" t="n">
        <v>9</v>
      </c>
      <c r="C746" s="47" t="n">
        <v>22</v>
      </c>
      <c r="D746" s="47" t="n">
        <v>82.02</v>
      </c>
      <c r="E746" s="46" t="str">
        <f>IF(C746&lt;=72.0,"Y","N")</f>
        <v>Y</v>
      </c>
      <c r="F746" s="46">
        <f>IF(E746="Y",D746,"")</f>
        <v>82.02</v>
      </c>
    </row>
    <row r="747">
      <c r="A747" s="46" t="inlineStr">
        <is>
          <t>W16</t>
        </is>
      </c>
      <c r="B747" s="46" t="n">
        <v>10</v>
      </c>
      <c r="C747" s="47" t="n">
        <v>40</v>
      </c>
      <c r="D747" s="47" t="n">
        <v>85.09</v>
      </c>
      <c r="E747" s="46" t="str">
        <f>IF(C747&lt;=72.0,"Y","N")</f>
        <v>Y</v>
      </c>
      <c r="F747" s="46">
        <f>IF(E747="Y",D747,"")</f>
        <v>85.09</v>
      </c>
    </row>
    <row r="748">
      <c r="A748" s="46" t="inlineStr">
        <is>
          <t>W16</t>
        </is>
      </c>
      <c r="B748" s="46" t="n">
        <v>11</v>
      </c>
      <c r="C748" s="47" t="n">
        <v>40</v>
      </c>
      <c r="D748" s="47" t="n">
        <v>84.37</v>
      </c>
      <c r="E748" s="46" t="str">
        <f>IF(C748&lt;=72.0,"Y","N")</f>
        <v>Y</v>
      </c>
      <c r="F748" s="46">
        <f>IF(E748="Y",D748,"")</f>
        <v>84.37</v>
      </c>
    </row>
    <row r="749">
      <c r="A749" s="46" t="inlineStr">
        <is>
          <t>W16</t>
        </is>
      </c>
      <c r="B749" s="46" t="n">
        <v>12</v>
      </c>
      <c r="C749" s="47" t="n">
        <v>40</v>
      </c>
      <c r="D749" s="47" t="n">
        <v>85.43</v>
      </c>
      <c r="E749" s="46" t="str">
        <f>IF(C749&lt;=72.0,"Y","N")</f>
        <v>Y</v>
      </c>
      <c r="F749" s="46">
        <f>IF(E749="Y",D749,"")</f>
        <v>85.43</v>
      </c>
    </row>
    <row r="750">
      <c r="A750" s="46" t="inlineStr">
        <is>
          <t>W16</t>
        </is>
      </c>
      <c r="B750" s="46" t="n">
        <v>13</v>
      </c>
      <c r="C750" s="47" t="n">
        <v>40</v>
      </c>
      <c r="D750" s="47" t="n">
        <v>84.22</v>
      </c>
      <c r="E750" s="46" t="str">
        <f>IF(C750&lt;=72.0,"Y","N")</f>
        <v>Y</v>
      </c>
      <c r="F750" s="46">
        <f>IF(E750="Y",D750,"")</f>
        <v>84.22</v>
      </c>
    </row>
    <row r="751">
      <c r="A751" s="46" t="inlineStr">
        <is>
          <t>W16</t>
        </is>
      </c>
      <c r="B751" s="46" t="n">
        <v>14</v>
      </c>
      <c r="C751" s="47" t="n">
        <v>40</v>
      </c>
      <c r="D751" s="47" t="n">
        <v>83.93</v>
      </c>
      <c r="E751" s="46" t="str">
        <f>IF(C751&lt;=72.0,"Y","N")</f>
        <v>Y</v>
      </c>
      <c r="F751" s="46">
        <f>IF(E751="Y",D751,"")</f>
        <v>83.93</v>
      </c>
    </row>
    <row r="752">
      <c r="A752" s="46" t="inlineStr">
        <is>
          <t>W16</t>
        </is>
      </c>
      <c r="B752" s="46" t="n">
        <v>15</v>
      </c>
      <c r="C752" s="47" t="n">
        <v>40</v>
      </c>
      <c r="D752" s="47" t="n">
        <v>84.97</v>
      </c>
      <c r="E752" s="46" t="str">
        <f>IF(C752&lt;=72.0,"Y","N")</f>
        <v>Y</v>
      </c>
      <c r="F752" s="46">
        <f>IF(E752="Y",D752,"")</f>
        <v>84.97</v>
      </c>
    </row>
    <row r="753">
      <c r="A753" s="46" t="inlineStr">
        <is>
          <t>W16</t>
        </is>
      </c>
      <c r="B753" s="46" t="n">
        <v>16</v>
      </c>
      <c r="C753" s="47" t="n">
        <v>40</v>
      </c>
      <c r="D753" s="47" t="n">
        <v>85.02</v>
      </c>
      <c r="E753" s="46" t="str">
        <f>IF(C753&lt;=72.0,"Y","N")</f>
        <v>Y</v>
      </c>
      <c r="F753" s="46">
        <f>IF(E753="Y",D753,"")</f>
        <v>85.02</v>
      </c>
    </row>
    <row r="754">
      <c r="A754" s="46" t="inlineStr">
        <is>
          <t>W16</t>
        </is>
      </c>
      <c r="B754" s="46" t="n">
        <v>17</v>
      </c>
      <c r="C754" s="47" t="n">
        <v>40</v>
      </c>
      <c r="D754" s="47" t="n">
        <v>85.09</v>
      </c>
      <c r="E754" s="46" t="str">
        <f>IF(C754&lt;=72.0,"Y","N")</f>
        <v>Y</v>
      </c>
      <c r="F754" s="46">
        <f>IF(E754="Y",D754,"")</f>
        <v>85.09</v>
      </c>
    </row>
    <row r="755">
      <c r="A755" s="46" t="inlineStr">
        <is>
          <t>W16</t>
        </is>
      </c>
      <c r="B755" s="46" t="n">
        <v>18</v>
      </c>
      <c r="C755" s="47" t="n">
        <v>40</v>
      </c>
      <c r="D755" s="47" t="n">
        <v>85.38</v>
      </c>
      <c r="E755" s="46" t="str">
        <f>IF(C755&lt;=72.0,"Y","N")</f>
        <v>Y</v>
      </c>
      <c r="F755" s="46">
        <f>IF(E755="Y",D755,"")</f>
        <v>85.38</v>
      </c>
    </row>
    <row r="756">
      <c r="A756" s="46" t="inlineStr">
        <is>
          <t>W16</t>
        </is>
      </c>
      <c r="B756" s="46" t="n">
        <v>19</v>
      </c>
      <c r="C756" s="47" t="n">
        <v>40</v>
      </c>
      <c r="D756" s="47" t="n">
        <v>84.44</v>
      </c>
      <c r="E756" s="46" t="str">
        <f>IF(C756&lt;=72.0,"Y","N")</f>
        <v>Y</v>
      </c>
      <c r="F756" s="46">
        <f>IF(E756="Y",D756,"")</f>
        <v>84.44</v>
      </c>
    </row>
    <row r="757">
      <c r="A757" s="46" t="inlineStr">
        <is>
          <t>W16</t>
        </is>
      </c>
      <c r="B757" s="46" t="n">
        <v>20</v>
      </c>
      <c r="C757" s="47" t="n">
        <v>40</v>
      </c>
      <c r="D757" s="47" t="n">
        <v>85.18</v>
      </c>
      <c r="E757" s="46" t="str">
        <f>IF(C757&lt;=72.0,"Y","N")</f>
        <v>Y</v>
      </c>
      <c r="F757" s="46">
        <f>IF(E757="Y",D757,"")</f>
        <v>85.18</v>
      </c>
    </row>
    <row r="758">
      <c r="A758" s="46" t="inlineStr">
        <is>
          <t>W16</t>
        </is>
      </c>
      <c r="B758" s="46" t="n">
        <v>21</v>
      </c>
      <c r="C758" s="47" t="n">
        <v>40</v>
      </c>
      <c r="D758" s="47" t="n">
        <v>84.15</v>
      </c>
      <c r="E758" s="46" t="str">
        <f>IF(C758&lt;=72.0,"Y","N")</f>
        <v>Y</v>
      </c>
      <c r="F758" s="46">
        <f>IF(E758="Y",D758,"")</f>
        <v>84.15</v>
      </c>
    </row>
    <row r="759">
      <c r="A759" s="46" t="inlineStr">
        <is>
          <t>W16</t>
        </is>
      </c>
      <c r="B759" s="46" t="n">
        <v>22</v>
      </c>
      <c r="C759" s="47" t="n">
        <v>58</v>
      </c>
      <c r="D759" s="47" t="n">
        <v>88.06</v>
      </c>
      <c r="E759" s="46" t="str">
        <f>IF(C759&lt;=72.0,"Y","N")</f>
        <v>Y</v>
      </c>
      <c r="F759" s="46">
        <f>IF(E759="Y",D759,"")</f>
        <v>88.06</v>
      </c>
    </row>
    <row r="760">
      <c r="A760" s="46" t="inlineStr">
        <is>
          <t>W16</t>
        </is>
      </c>
      <c r="B760" s="46" t="n">
        <v>23</v>
      </c>
      <c r="C760" s="47" t="n">
        <v>58</v>
      </c>
      <c r="D760" s="47" t="n">
        <v>88.43</v>
      </c>
      <c r="E760" s="46" t="str">
        <f>IF(C760&lt;=72.0,"Y","N")</f>
        <v>Y</v>
      </c>
      <c r="F760" s="46">
        <f>IF(E760="Y",D760,"")</f>
        <v>88.43</v>
      </c>
    </row>
    <row r="761">
      <c r="A761" s="46" t="inlineStr">
        <is>
          <t>W16</t>
        </is>
      </c>
      <c r="B761" s="46" t="n">
        <v>24</v>
      </c>
      <c r="C761" s="47" t="n">
        <v>58</v>
      </c>
      <c r="D761" s="47" t="n">
        <v>88.07</v>
      </c>
      <c r="E761" s="46" t="str">
        <f>IF(C761&lt;=72.0,"Y","N")</f>
        <v>Y</v>
      </c>
      <c r="F761" s="46">
        <f>IF(E761="Y",D761,"")</f>
        <v>88.07</v>
      </c>
    </row>
    <row r="762">
      <c r="A762" s="46" t="inlineStr">
        <is>
          <t>W16</t>
        </is>
      </c>
      <c r="B762" s="46" t="n">
        <v>25</v>
      </c>
      <c r="C762" s="47" t="n">
        <v>58</v>
      </c>
      <c r="D762" s="47" t="n">
        <v>87.7</v>
      </c>
      <c r="E762" s="46" t="str">
        <f>IF(C762&lt;=72.0,"Y","N")</f>
        <v>Y</v>
      </c>
      <c r="F762" s="46">
        <f>IF(E762="Y",D762,"")</f>
        <v>87.7</v>
      </c>
    </row>
    <row r="763">
      <c r="A763" s="46" t="inlineStr">
        <is>
          <t>W16</t>
        </is>
      </c>
      <c r="B763" s="46" t="n">
        <v>26</v>
      </c>
      <c r="C763" s="47" t="n">
        <v>58</v>
      </c>
      <c r="D763" s="47" t="n">
        <v>87.57</v>
      </c>
      <c r="E763" s="46" t="str">
        <f>IF(C763&lt;=72.0,"Y","N")</f>
        <v>Y</v>
      </c>
      <c r="F763" s="46">
        <f>IF(E763="Y",D763,"")</f>
        <v>87.57</v>
      </c>
    </row>
    <row r="764">
      <c r="A764" s="46" t="inlineStr">
        <is>
          <t>W16</t>
        </is>
      </c>
      <c r="B764" s="46" t="n">
        <v>27</v>
      </c>
      <c r="C764" s="47" t="n">
        <v>58</v>
      </c>
      <c r="D764" s="47" t="n">
        <v>87.5</v>
      </c>
      <c r="E764" s="46" t="str">
        <f>IF(C764&lt;=72.0,"Y","N")</f>
        <v>Y</v>
      </c>
      <c r="F764" s="46">
        <f>IF(E764="Y",D764,"")</f>
        <v>87.5</v>
      </c>
    </row>
    <row r="765">
      <c r="A765" s="46" t="inlineStr">
        <is>
          <t>W16</t>
        </is>
      </c>
      <c r="B765" s="46" t="n">
        <v>28</v>
      </c>
      <c r="C765" s="47" t="n">
        <v>58</v>
      </c>
      <c r="D765" s="47" t="n">
        <v>87.98</v>
      </c>
      <c r="E765" s="46" t="str">
        <f>IF(C765&lt;=72.0,"Y","N")</f>
        <v>Y</v>
      </c>
      <c r="F765" s="46">
        <f>IF(E765="Y",D765,"")</f>
        <v>87.98</v>
      </c>
    </row>
    <row r="766">
      <c r="A766" s="46" t="inlineStr">
        <is>
          <t>W16</t>
        </is>
      </c>
      <c r="B766" s="46" t="n">
        <v>29</v>
      </c>
      <c r="C766" s="47" t="n">
        <v>58</v>
      </c>
      <c r="D766" s="47" t="n">
        <v>88.58</v>
      </c>
      <c r="E766" s="46" t="str">
        <f>IF(C766&lt;=72.0,"Y","N")</f>
        <v>Y</v>
      </c>
      <c r="F766" s="46">
        <f>IF(E766="Y",D766,"")</f>
        <v>88.58</v>
      </c>
    </row>
    <row r="767">
      <c r="A767" s="46" t="inlineStr">
        <is>
          <t>W16</t>
        </is>
      </c>
      <c r="B767" s="46" t="n">
        <v>30</v>
      </c>
      <c r="C767" s="47" t="n">
        <v>58</v>
      </c>
      <c r="D767" s="47" t="n">
        <v>87.53</v>
      </c>
      <c r="E767" s="46" t="str">
        <f>IF(C767&lt;=72.0,"Y","N")</f>
        <v>Y</v>
      </c>
      <c r="F767" s="46">
        <f>IF(E767="Y",D767,"")</f>
        <v>87.53</v>
      </c>
    </row>
    <row r="768">
      <c r="A768" s="46" t="inlineStr">
        <is>
          <t>W16</t>
        </is>
      </c>
      <c r="B768" s="46" t="n">
        <v>31</v>
      </c>
      <c r="C768" s="47" t="n">
        <v>58</v>
      </c>
      <c r="D768" s="47" t="n">
        <v>87.95</v>
      </c>
      <c r="E768" s="46" t="str">
        <f>IF(C768&lt;=72.0,"Y","N")</f>
        <v>Y</v>
      </c>
      <c r="F768" s="46">
        <f>IF(E768="Y",D768,"")</f>
        <v>87.95</v>
      </c>
    </row>
    <row r="769">
      <c r="A769" s="46" t="inlineStr">
        <is>
          <t>W16</t>
        </is>
      </c>
      <c r="B769" s="46" t="n">
        <v>32</v>
      </c>
      <c r="C769" s="47" t="n">
        <v>58</v>
      </c>
      <c r="D769" s="47" t="n">
        <v>87.76</v>
      </c>
      <c r="E769" s="46" t="str">
        <f>IF(C769&lt;=72.0,"Y","N")</f>
        <v>Y</v>
      </c>
      <c r="F769" s="46">
        <f>IF(E769="Y",D769,"")</f>
        <v>87.76</v>
      </c>
    </row>
    <row r="770">
      <c r="A770" s="46" t="inlineStr">
        <is>
          <t>W16</t>
        </is>
      </c>
      <c r="B770" s="46" t="n">
        <v>33</v>
      </c>
      <c r="C770" s="47" t="n">
        <v>58</v>
      </c>
      <c r="D770" s="47" t="n">
        <v>87.45</v>
      </c>
      <c r="E770" s="46" t="str">
        <f>IF(C770&lt;=72.0,"Y","N")</f>
        <v>Y</v>
      </c>
      <c r="F770" s="46">
        <f>IF(E770="Y",D770,"")</f>
        <v>87.45</v>
      </c>
    </row>
    <row r="771">
      <c r="A771" s="46" t="inlineStr">
        <is>
          <t>W16</t>
        </is>
      </c>
      <c r="B771" s="46" t="n">
        <v>34</v>
      </c>
      <c r="C771" s="47" t="n">
        <v>73</v>
      </c>
      <c r="D771" s="47" t="n">
        <v>91.24</v>
      </c>
      <c r="E771" s="46" t="str">
        <f>IF(C771&lt;=72.0,"Y","N")</f>
        <v>N</v>
      </c>
      <c r="F771" s="46" t="str">
        <f>IF(E771="Y",D771,"")</f>
        <v/>
      </c>
    </row>
    <row r="772">
      <c r="A772" s="46" t="inlineStr">
        <is>
          <t>W16</t>
        </is>
      </c>
      <c r="B772" s="46" t="n">
        <v>35</v>
      </c>
      <c r="C772" s="47" t="n">
        <v>73</v>
      </c>
      <c r="D772" s="47" t="n">
        <v>91.34</v>
      </c>
      <c r="E772" s="46" t="str">
        <f>IF(C772&lt;=72.0,"Y","N")</f>
        <v>N</v>
      </c>
      <c r="F772" s="46" t="str">
        <f>IF(E772="Y",D772,"")</f>
        <v/>
      </c>
    </row>
    <row r="773">
      <c r="A773" s="46" t="inlineStr">
        <is>
          <t>W16</t>
        </is>
      </c>
      <c r="B773" s="46" t="n">
        <v>36</v>
      </c>
      <c r="C773" s="47" t="n">
        <v>73</v>
      </c>
      <c r="D773" s="47" t="n">
        <v>91.3</v>
      </c>
      <c r="E773" s="46" t="str">
        <f>IF(C773&lt;=72.0,"Y","N")</f>
        <v>N</v>
      </c>
      <c r="F773" s="46" t="str">
        <f>IF(E773="Y",D773,"")</f>
        <v/>
      </c>
    </row>
    <row r="774">
      <c r="A774" s="46" t="inlineStr">
        <is>
          <t>W16</t>
        </is>
      </c>
      <c r="B774" s="46" t="n">
        <v>37</v>
      </c>
      <c r="C774" s="47" t="n">
        <v>73</v>
      </c>
      <c r="D774" s="47" t="n">
        <v>90.88</v>
      </c>
      <c r="E774" s="46" t="str">
        <f>IF(C774&lt;=72.0,"Y","N")</f>
        <v>N</v>
      </c>
      <c r="F774" s="46" t="str">
        <f>IF(E774="Y",D774,"")</f>
        <v/>
      </c>
    </row>
    <row r="775">
      <c r="A775" s="46" t="inlineStr">
        <is>
          <t>W16</t>
        </is>
      </c>
      <c r="B775" s="46" t="n">
        <v>38</v>
      </c>
      <c r="C775" s="47" t="n">
        <v>73</v>
      </c>
      <c r="D775" s="47" t="n">
        <v>91.53</v>
      </c>
      <c r="E775" s="46" t="str">
        <f>IF(C775&lt;=72.0,"Y","N")</f>
        <v>N</v>
      </c>
      <c r="F775" s="46" t="str">
        <f>IF(E775="Y",D775,"")</f>
        <v/>
      </c>
    </row>
    <row r="776">
      <c r="A776" s="46" t="inlineStr">
        <is>
          <t>W16</t>
        </is>
      </c>
      <c r="B776" s="46" t="n">
        <v>39</v>
      </c>
      <c r="C776" s="47" t="n">
        <v>73</v>
      </c>
      <c r="D776" s="47" t="n">
        <v>91.07</v>
      </c>
      <c r="E776" s="46" t="str">
        <f>IF(C776&lt;=72.0,"Y","N")</f>
        <v>N</v>
      </c>
      <c r="F776" s="46" t="str">
        <f>IF(E776="Y",D776,"")</f>
        <v/>
      </c>
    </row>
    <row r="777">
      <c r="A777" s="46" t="inlineStr">
        <is>
          <t>W16</t>
        </is>
      </c>
      <c r="B777" s="46" t="n">
        <v>40</v>
      </c>
      <c r="C777" s="47" t="n">
        <v>73</v>
      </c>
      <c r="D777" s="47" t="n">
        <v>91.3</v>
      </c>
      <c r="E777" s="46" t="str">
        <f>IF(C777&lt;=72.0,"Y","N")</f>
        <v>N</v>
      </c>
      <c r="F777" s="46" t="str">
        <f>IF(E777="Y",D777,"")</f>
        <v/>
      </c>
    </row>
    <row r="778">
      <c r="A778" s="46" t="inlineStr">
        <is>
          <t>W16</t>
        </is>
      </c>
      <c r="B778" s="46" t="n">
        <v>41</v>
      </c>
      <c r="C778" s="47" t="n">
        <v>73</v>
      </c>
      <c r="D778" s="47" t="n">
        <v>92</v>
      </c>
      <c r="E778" s="46" t="str">
        <f>IF(C778&lt;=72.0,"Y","N")</f>
        <v>N</v>
      </c>
      <c r="F778" s="46" t="str">
        <f>IF(E778="Y",D778,"")</f>
        <v/>
      </c>
    </row>
    <row r="779">
      <c r="A779" s="46" t="inlineStr">
        <is>
          <t>W16</t>
        </is>
      </c>
      <c r="B779" s="46" t="n">
        <v>42</v>
      </c>
      <c r="C779" s="47" t="n">
        <v>73</v>
      </c>
      <c r="D779" s="47" t="n">
        <v>91.75</v>
      </c>
      <c r="E779" s="46" t="str">
        <f>IF(C779&lt;=72.0,"Y","N")</f>
        <v>N</v>
      </c>
      <c r="F779" s="46" t="str">
        <f>IF(E779="Y",D779,"")</f>
        <v/>
      </c>
    </row>
    <row r="780">
      <c r="A780" s="46" t="inlineStr">
        <is>
          <t>W16</t>
        </is>
      </c>
      <c r="B780" s="46" t="n">
        <v>43</v>
      </c>
      <c r="C780" s="47" t="n">
        <v>73</v>
      </c>
      <c r="D780" s="47" t="n">
        <v>90.93</v>
      </c>
      <c r="E780" s="46" t="str">
        <f>IF(C780&lt;=72.0,"Y","N")</f>
        <v>N</v>
      </c>
      <c r="F780" s="46" t="str">
        <f>IF(E780="Y",D780,"")</f>
        <v/>
      </c>
    </row>
    <row r="781">
      <c r="A781" s="46" t="inlineStr">
        <is>
          <t>W16</t>
        </is>
      </c>
      <c r="B781" s="46" t="n">
        <v>44</v>
      </c>
      <c r="C781" s="47" t="n">
        <v>73</v>
      </c>
      <c r="D781" s="47" t="n">
        <v>91.74</v>
      </c>
      <c r="E781" s="46" t="str">
        <f>IF(C781&lt;=72.0,"Y","N")</f>
        <v>N</v>
      </c>
      <c r="F781" s="46" t="str">
        <f>IF(E781="Y",D781,"")</f>
        <v/>
      </c>
    </row>
    <row r="782">
      <c r="A782" s="46" t="inlineStr">
        <is>
          <t>W16</t>
        </is>
      </c>
      <c r="B782" s="46" t="n">
        <v>45</v>
      </c>
      <c r="C782" s="47" t="n">
        <v>73</v>
      </c>
      <c r="D782" s="47" t="n">
        <v>91.63</v>
      </c>
      <c r="E782" s="46" t="str">
        <f>IF(C782&lt;=72.0,"Y","N")</f>
        <v>N</v>
      </c>
      <c r="F782" s="46" t="str">
        <f>IF(E782="Y",D782,"")</f>
        <v/>
      </c>
    </row>
    <row r="783">
      <c r="A783" s="46" t="inlineStr">
        <is>
          <t>W16</t>
        </is>
      </c>
      <c r="B783" s="46" t="n">
        <v>46</v>
      </c>
      <c r="C783" s="47" t="n">
        <v>73</v>
      </c>
      <c r="D783" s="47" t="n">
        <v>90.69</v>
      </c>
      <c r="E783" s="46" t="str">
        <f>IF(C783&lt;=72.0,"Y","N")</f>
        <v>N</v>
      </c>
      <c r="F783" s="46" t="str">
        <f>IF(E783="Y",D783,"")</f>
        <v/>
      </c>
    </row>
    <row r="784">
      <c r="A784" s="46" t="inlineStr">
        <is>
          <t>W16</t>
        </is>
      </c>
      <c r="B784" s="46" t="n">
        <v>47</v>
      </c>
      <c r="C784" s="47" t="n">
        <v>73</v>
      </c>
      <c r="D784" s="47" t="n">
        <v>91.74</v>
      </c>
      <c r="E784" s="46" t="str">
        <f>IF(C784&lt;=72.0,"Y","N")</f>
        <v>N</v>
      </c>
      <c r="F784" s="46" t="str">
        <f>IF(E784="Y",D784,"")</f>
        <v/>
      </c>
    </row>
    <row r="785">
      <c r="A785" s="46" t="inlineStr">
        <is>
          <t>W16</t>
        </is>
      </c>
      <c r="B785" s="46" t="n">
        <v>48</v>
      </c>
      <c r="C785" s="47" t="n">
        <v>73</v>
      </c>
      <c r="D785" s="47" t="n">
        <v>91.26</v>
      </c>
      <c r="E785" s="46" t="str">
        <f>IF(C785&lt;=72.0,"Y","N")</f>
        <v>N</v>
      </c>
      <c r="F785" s="46" t="str">
        <f>IF(E785="Y",D785,"")</f>
        <v/>
      </c>
    </row>
    <row r="786">
      <c r="A786" s="46" t="inlineStr">
        <is>
          <t>W16</t>
        </is>
      </c>
      <c r="B786" s="46" t="n">
        <v>49</v>
      </c>
      <c r="C786" s="47" t="n">
        <v>73</v>
      </c>
      <c r="D786" s="47" t="n">
        <v>91.97</v>
      </c>
      <c r="E786" s="46" t="str">
        <f>IF(C786&lt;=72.0,"Y","N")</f>
        <v>N</v>
      </c>
      <c r="F786" s="46" t="str">
        <f>IF(E786="Y",D786,"")</f>
        <v/>
      </c>
    </row>
    <row r="787">
      <c r="A787" s="46" t="inlineStr">
        <is>
          <t>W17</t>
        </is>
      </c>
      <c r="B787" s="46" t="n">
        <v>1</v>
      </c>
      <c r="C787" s="47" t="n">
        <v>0</v>
      </c>
      <c r="D787" s="47" t="n">
        <v>82.59</v>
      </c>
      <c r="E787" s="46" t="str">
        <f>IF(C787&lt;=72.0,"Y","N")</f>
        <v>Y</v>
      </c>
      <c r="F787" s="46">
        <f>IF(E787="Y",D787,"")</f>
        <v>82.59</v>
      </c>
    </row>
    <row r="788">
      <c r="A788" s="46" t="inlineStr">
        <is>
          <t>W17</t>
        </is>
      </c>
      <c r="B788" s="46" t="n">
        <v>2</v>
      </c>
      <c r="C788" s="47" t="n">
        <v>22</v>
      </c>
      <c r="D788" s="47" t="n">
        <v>83.71</v>
      </c>
      <c r="E788" s="46" t="str">
        <f>IF(C788&lt;=72.0,"Y","N")</f>
        <v>Y</v>
      </c>
      <c r="F788" s="46">
        <f>IF(E788="Y",D788,"")</f>
        <v>83.71</v>
      </c>
    </row>
    <row r="789">
      <c r="A789" s="46" t="inlineStr">
        <is>
          <t>W17</t>
        </is>
      </c>
      <c r="B789" s="46" t="n">
        <v>3</v>
      </c>
      <c r="C789" s="47" t="n">
        <v>22</v>
      </c>
      <c r="D789" s="47" t="n">
        <v>83.26</v>
      </c>
      <c r="E789" s="46" t="str">
        <f>IF(C789&lt;=72.0,"Y","N")</f>
        <v>Y</v>
      </c>
      <c r="F789" s="46">
        <f>IF(E789="Y",D789,"")</f>
        <v>83.26</v>
      </c>
    </row>
    <row r="790">
      <c r="A790" s="46" t="inlineStr">
        <is>
          <t>W17</t>
        </is>
      </c>
      <c r="B790" s="46" t="n">
        <v>4</v>
      </c>
      <c r="C790" s="47" t="n">
        <v>22</v>
      </c>
      <c r="D790" s="47" t="n">
        <v>82.81</v>
      </c>
      <c r="E790" s="46" t="str">
        <f>IF(C790&lt;=72.0,"Y","N")</f>
        <v>Y</v>
      </c>
      <c r="F790" s="46">
        <f>IF(E790="Y",D790,"")</f>
        <v>82.81</v>
      </c>
    </row>
    <row r="791">
      <c r="A791" s="46" t="inlineStr">
        <is>
          <t>W17</t>
        </is>
      </c>
      <c r="B791" s="46" t="n">
        <v>5</v>
      </c>
      <c r="C791" s="47" t="n">
        <v>22</v>
      </c>
      <c r="D791" s="47" t="n">
        <v>83.57</v>
      </c>
      <c r="E791" s="46" t="str">
        <f>IF(C791&lt;=72.0,"Y","N")</f>
        <v>Y</v>
      </c>
      <c r="F791" s="46">
        <f>IF(E791="Y",D791,"")</f>
        <v>83.57</v>
      </c>
    </row>
    <row r="792">
      <c r="A792" s="46" t="inlineStr">
        <is>
          <t>W17</t>
        </is>
      </c>
      <c r="B792" s="46" t="n">
        <v>6</v>
      </c>
      <c r="C792" s="47" t="n">
        <v>22</v>
      </c>
      <c r="D792" s="47" t="n">
        <v>82.86</v>
      </c>
      <c r="E792" s="46" t="str">
        <f>IF(C792&lt;=72.0,"Y","N")</f>
        <v>Y</v>
      </c>
      <c r="F792" s="46">
        <f>IF(E792="Y",D792,"")</f>
        <v>82.86</v>
      </c>
    </row>
    <row r="793">
      <c r="A793" s="46" t="inlineStr">
        <is>
          <t>W17</t>
        </is>
      </c>
      <c r="B793" s="46" t="n">
        <v>7</v>
      </c>
      <c r="C793" s="47" t="n">
        <v>22</v>
      </c>
      <c r="D793" s="47" t="n">
        <v>82.43</v>
      </c>
      <c r="E793" s="46" t="str">
        <f>IF(C793&lt;=72.0,"Y","N")</f>
        <v>Y</v>
      </c>
      <c r="F793" s="46">
        <f>IF(E793="Y",D793,"")</f>
        <v>82.43</v>
      </c>
    </row>
    <row r="794">
      <c r="A794" s="46" t="inlineStr">
        <is>
          <t>W17</t>
        </is>
      </c>
      <c r="B794" s="46" t="n">
        <v>8</v>
      </c>
      <c r="C794" s="47" t="n">
        <v>22</v>
      </c>
      <c r="D794" s="47" t="n">
        <v>83.86</v>
      </c>
      <c r="E794" s="46" t="str">
        <f>IF(C794&lt;=72.0,"Y","N")</f>
        <v>Y</v>
      </c>
      <c r="F794" s="46">
        <f>IF(E794="Y",D794,"")</f>
        <v>83.86</v>
      </c>
    </row>
    <row r="795">
      <c r="A795" s="46" t="inlineStr">
        <is>
          <t>W17</t>
        </is>
      </c>
      <c r="B795" s="46" t="n">
        <v>9</v>
      </c>
      <c r="C795" s="47" t="n">
        <v>22</v>
      </c>
      <c r="D795" s="47" t="n">
        <v>83.18</v>
      </c>
      <c r="E795" s="46" t="str">
        <f>IF(C795&lt;=72.0,"Y","N")</f>
        <v>Y</v>
      </c>
      <c r="F795" s="46">
        <f>IF(E795="Y",D795,"")</f>
        <v>83.18</v>
      </c>
    </row>
    <row r="796">
      <c r="A796" s="46" t="inlineStr">
        <is>
          <t>W17</t>
        </is>
      </c>
      <c r="B796" s="46" t="n">
        <v>10</v>
      </c>
      <c r="C796" s="47" t="n">
        <v>40</v>
      </c>
      <c r="D796" s="47" t="n">
        <v>85.81</v>
      </c>
      <c r="E796" s="46" t="str">
        <f>IF(C796&lt;=72.0,"Y","N")</f>
        <v>Y</v>
      </c>
      <c r="F796" s="46">
        <f>IF(E796="Y",D796,"")</f>
        <v>85.81</v>
      </c>
    </row>
    <row r="797">
      <c r="A797" s="46" t="inlineStr">
        <is>
          <t>W17</t>
        </is>
      </c>
      <c r="B797" s="46" t="n">
        <v>11</v>
      </c>
      <c r="C797" s="47" t="n">
        <v>40</v>
      </c>
      <c r="D797" s="47" t="n">
        <v>84.37</v>
      </c>
      <c r="E797" s="46" t="str">
        <f>IF(C797&lt;=72.0,"Y","N")</f>
        <v>Y</v>
      </c>
      <c r="F797" s="46">
        <f>IF(E797="Y",D797,"")</f>
        <v>84.37</v>
      </c>
    </row>
    <row r="798">
      <c r="A798" s="46" t="inlineStr">
        <is>
          <t>W17</t>
        </is>
      </c>
      <c r="B798" s="46" t="n">
        <v>12</v>
      </c>
      <c r="C798" s="47" t="n">
        <v>40</v>
      </c>
      <c r="D798" s="47" t="n">
        <v>84.48</v>
      </c>
      <c r="E798" s="46" t="str">
        <f>IF(C798&lt;=72.0,"Y","N")</f>
        <v>Y</v>
      </c>
      <c r="F798" s="46">
        <f>IF(E798="Y",D798,"")</f>
        <v>84.48</v>
      </c>
    </row>
    <row r="799">
      <c r="A799" s="46" t="inlineStr">
        <is>
          <t>W17</t>
        </is>
      </c>
      <c r="B799" s="46" t="n">
        <v>13</v>
      </c>
      <c r="C799" s="47" t="n">
        <v>40</v>
      </c>
      <c r="D799" s="47" t="n">
        <v>85.23</v>
      </c>
      <c r="E799" s="46" t="str">
        <f>IF(C799&lt;=72.0,"Y","N")</f>
        <v>Y</v>
      </c>
      <c r="F799" s="46">
        <f>IF(E799="Y",D799,"")</f>
        <v>85.23</v>
      </c>
    </row>
    <row r="800">
      <c r="A800" s="46" t="inlineStr">
        <is>
          <t>W17</t>
        </is>
      </c>
      <c r="B800" s="46" t="n">
        <v>14</v>
      </c>
      <c r="C800" s="47" t="n">
        <v>40</v>
      </c>
      <c r="D800" s="47" t="n">
        <v>84.8</v>
      </c>
      <c r="E800" s="46" t="str">
        <f>IF(C800&lt;=72.0,"Y","N")</f>
        <v>Y</v>
      </c>
      <c r="F800" s="46">
        <f>IF(E800="Y",D800,"")</f>
        <v>84.8</v>
      </c>
    </row>
    <row r="801">
      <c r="A801" s="46" t="inlineStr">
        <is>
          <t>W17</t>
        </is>
      </c>
      <c r="B801" s="46" t="n">
        <v>15</v>
      </c>
      <c r="C801" s="47" t="n">
        <v>40</v>
      </c>
      <c r="D801" s="47" t="n">
        <v>85.74</v>
      </c>
      <c r="E801" s="46" t="str">
        <f>IF(C801&lt;=72.0,"Y","N")</f>
        <v>Y</v>
      </c>
      <c r="F801" s="46">
        <f>IF(E801="Y",D801,"")</f>
        <v>85.74</v>
      </c>
    </row>
    <row r="802">
      <c r="A802" s="46" t="inlineStr">
        <is>
          <t>W17</t>
        </is>
      </c>
      <c r="B802" s="46" t="n">
        <v>16</v>
      </c>
      <c r="C802" s="47" t="n">
        <v>40</v>
      </c>
      <c r="D802" s="47" t="n">
        <v>85.1</v>
      </c>
      <c r="E802" s="46" t="str">
        <f>IF(C802&lt;=72.0,"Y","N")</f>
        <v>Y</v>
      </c>
      <c r="F802" s="46">
        <f>IF(E802="Y",D802,"")</f>
        <v>85.1</v>
      </c>
    </row>
    <row r="803">
      <c r="A803" s="46" t="inlineStr">
        <is>
          <t>W17</t>
        </is>
      </c>
      <c r="B803" s="46" t="n">
        <v>17</v>
      </c>
      <c r="C803" s="47" t="n">
        <v>40</v>
      </c>
      <c r="D803" s="47" t="n">
        <v>84.85</v>
      </c>
      <c r="E803" s="46" t="str">
        <f>IF(C803&lt;=72.0,"Y","N")</f>
        <v>Y</v>
      </c>
      <c r="F803" s="46">
        <f>IF(E803="Y",D803,"")</f>
        <v>84.85</v>
      </c>
    </row>
    <row r="804">
      <c r="A804" s="46" t="inlineStr">
        <is>
          <t>W17</t>
        </is>
      </c>
      <c r="B804" s="46" t="n">
        <v>18</v>
      </c>
      <c r="C804" s="47" t="n">
        <v>40</v>
      </c>
      <c r="D804" s="47" t="n">
        <v>84.74</v>
      </c>
      <c r="E804" s="46" t="str">
        <f>IF(C804&lt;=72.0,"Y","N")</f>
        <v>Y</v>
      </c>
      <c r="F804" s="46">
        <f>IF(E804="Y",D804,"")</f>
        <v>84.74</v>
      </c>
    </row>
    <row r="805">
      <c r="A805" s="46" t="inlineStr">
        <is>
          <t>W17</t>
        </is>
      </c>
      <c r="B805" s="46" t="n">
        <v>19</v>
      </c>
      <c r="C805" s="47" t="n">
        <v>40</v>
      </c>
      <c r="D805" s="47" t="n">
        <v>85.19</v>
      </c>
      <c r="E805" s="46" t="str">
        <f>IF(C805&lt;=72.0,"Y","N")</f>
        <v>Y</v>
      </c>
      <c r="F805" s="46">
        <f>IF(E805="Y",D805,"")</f>
        <v>85.19</v>
      </c>
    </row>
    <row r="806">
      <c r="A806" s="46" t="inlineStr">
        <is>
          <t>W17</t>
        </is>
      </c>
      <c r="B806" s="46" t="n">
        <v>20</v>
      </c>
      <c r="C806" s="47" t="n">
        <v>40</v>
      </c>
      <c r="D806" s="47" t="n">
        <v>85.82</v>
      </c>
      <c r="E806" s="46" t="str">
        <f>IF(C806&lt;=72.0,"Y","N")</f>
        <v>Y</v>
      </c>
      <c r="F806" s="46">
        <f>IF(E806="Y",D806,"")</f>
        <v>85.82</v>
      </c>
    </row>
    <row r="807">
      <c r="A807" s="46" t="inlineStr">
        <is>
          <t>W17</t>
        </is>
      </c>
      <c r="B807" s="46" t="n">
        <v>21</v>
      </c>
      <c r="C807" s="47" t="n">
        <v>40</v>
      </c>
      <c r="D807" s="47" t="n">
        <v>85.17</v>
      </c>
      <c r="E807" s="46" t="str">
        <f>IF(C807&lt;=72.0,"Y","N")</f>
        <v>Y</v>
      </c>
      <c r="F807" s="46">
        <f>IF(E807="Y",D807,"")</f>
        <v>85.17</v>
      </c>
    </row>
    <row r="808">
      <c r="A808" s="46" t="inlineStr">
        <is>
          <t>W17</t>
        </is>
      </c>
      <c r="B808" s="46" t="n">
        <v>22</v>
      </c>
      <c r="C808" s="47" t="n">
        <v>58</v>
      </c>
      <c r="D808" s="47" t="n">
        <v>88.12</v>
      </c>
      <c r="E808" s="46" t="str">
        <f>IF(C808&lt;=72.0,"Y","N")</f>
        <v>Y</v>
      </c>
      <c r="F808" s="46">
        <f>IF(E808="Y",D808,"")</f>
        <v>88.12</v>
      </c>
    </row>
    <row r="809">
      <c r="A809" s="46" t="inlineStr">
        <is>
          <t>W17</t>
        </is>
      </c>
      <c r="B809" s="46" t="n">
        <v>23</v>
      </c>
      <c r="C809" s="47" t="n">
        <v>58</v>
      </c>
      <c r="D809" s="47" t="n">
        <v>88.69</v>
      </c>
      <c r="E809" s="46" t="str">
        <f>IF(C809&lt;=72.0,"Y","N")</f>
        <v>Y</v>
      </c>
      <c r="F809" s="46">
        <f>IF(E809="Y",D809,"")</f>
        <v>88.69</v>
      </c>
    </row>
    <row r="810">
      <c r="A810" s="46" t="inlineStr">
        <is>
          <t>W17</t>
        </is>
      </c>
      <c r="B810" s="46" t="n">
        <v>24</v>
      </c>
      <c r="C810" s="47" t="n">
        <v>58</v>
      </c>
      <c r="D810" s="47" t="n">
        <v>88.74</v>
      </c>
      <c r="E810" s="46" t="str">
        <f>IF(C810&lt;=72.0,"Y","N")</f>
        <v>Y</v>
      </c>
      <c r="F810" s="46">
        <f>IF(E810="Y",D810,"")</f>
        <v>88.74</v>
      </c>
    </row>
    <row r="811">
      <c r="A811" s="46" t="inlineStr">
        <is>
          <t>W17</t>
        </is>
      </c>
      <c r="B811" s="46" t="n">
        <v>25</v>
      </c>
      <c r="C811" s="47" t="n">
        <v>58</v>
      </c>
      <c r="D811" s="47" t="n">
        <v>88.28</v>
      </c>
      <c r="E811" s="46" t="str">
        <f>IF(C811&lt;=72.0,"Y","N")</f>
        <v>Y</v>
      </c>
      <c r="F811" s="46">
        <f>IF(E811="Y",D811,"")</f>
        <v>88.28</v>
      </c>
    </row>
    <row r="812">
      <c r="A812" s="46" t="inlineStr">
        <is>
          <t>W17</t>
        </is>
      </c>
      <c r="B812" s="46" t="n">
        <v>26</v>
      </c>
      <c r="C812" s="47" t="n">
        <v>58</v>
      </c>
      <c r="D812" s="47" t="n">
        <v>89</v>
      </c>
      <c r="E812" s="46" t="str">
        <f>IF(C812&lt;=72.0,"Y","N")</f>
        <v>Y</v>
      </c>
      <c r="F812" s="46">
        <f>IF(E812="Y",D812,"")</f>
        <v>89</v>
      </c>
    </row>
    <row r="813">
      <c r="A813" s="46" t="inlineStr">
        <is>
          <t>W17</t>
        </is>
      </c>
      <c r="B813" s="46" t="n">
        <v>27</v>
      </c>
      <c r="C813" s="47" t="n">
        <v>58</v>
      </c>
      <c r="D813" s="47" t="n">
        <v>87.69</v>
      </c>
      <c r="E813" s="46" t="str">
        <f>IF(C813&lt;=72.0,"Y","N")</f>
        <v>Y</v>
      </c>
      <c r="F813" s="46">
        <f>IF(E813="Y",D813,"")</f>
        <v>87.69</v>
      </c>
    </row>
    <row r="814">
      <c r="A814" s="46" t="inlineStr">
        <is>
          <t>W17</t>
        </is>
      </c>
      <c r="B814" s="46" t="n">
        <v>28</v>
      </c>
      <c r="C814" s="47" t="n">
        <v>58</v>
      </c>
      <c r="D814" s="47" t="n">
        <v>88.25</v>
      </c>
      <c r="E814" s="46" t="str">
        <f>IF(C814&lt;=72.0,"Y","N")</f>
        <v>Y</v>
      </c>
      <c r="F814" s="46">
        <f>IF(E814="Y",D814,"")</f>
        <v>88.25</v>
      </c>
    </row>
    <row r="815">
      <c r="A815" s="46" t="inlineStr">
        <is>
          <t>W17</t>
        </is>
      </c>
      <c r="B815" s="46" t="n">
        <v>29</v>
      </c>
      <c r="C815" s="47" t="n">
        <v>58</v>
      </c>
      <c r="D815" s="47" t="n">
        <v>88.78</v>
      </c>
      <c r="E815" s="46" t="str">
        <f>IF(C815&lt;=72.0,"Y","N")</f>
        <v>Y</v>
      </c>
      <c r="F815" s="46">
        <f>IF(E815="Y",D815,"")</f>
        <v>88.78</v>
      </c>
    </row>
    <row r="816">
      <c r="A816" s="46" t="inlineStr">
        <is>
          <t>W17</t>
        </is>
      </c>
      <c r="B816" s="46" t="n">
        <v>30</v>
      </c>
      <c r="C816" s="47" t="n">
        <v>58</v>
      </c>
      <c r="D816" s="47" t="n">
        <v>89</v>
      </c>
      <c r="E816" s="46" t="str">
        <f>IF(C816&lt;=72.0,"Y","N")</f>
        <v>Y</v>
      </c>
      <c r="F816" s="46">
        <f>IF(E816="Y",D816,"")</f>
        <v>89</v>
      </c>
    </row>
    <row r="817">
      <c r="A817" s="46" t="inlineStr">
        <is>
          <t>W17</t>
        </is>
      </c>
      <c r="B817" s="46" t="n">
        <v>31</v>
      </c>
      <c r="C817" s="47" t="n">
        <v>58</v>
      </c>
      <c r="D817" s="47" t="n">
        <v>88.91</v>
      </c>
      <c r="E817" s="46" t="str">
        <f>IF(C817&lt;=72.0,"Y","N")</f>
        <v>Y</v>
      </c>
      <c r="F817" s="46">
        <f>IF(E817="Y",D817,"")</f>
        <v>88.91</v>
      </c>
    </row>
    <row r="818">
      <c r="A818" s="46" t="inlineStr">
        <is>
          <t>W17</t>
        </is>
      </c>
      <c r="B818" s="46" t="n">
        <v>32</v>
      </c>
      <c r="C818" s="47" t="n">
        <v>58</v>
      </c>
      <c r="D818" s="47" t="n">
        <v>88.78</v>
      </c>
      <c r="E818" s="46" t="str">
        <f>IF(C818&lt;=72.0,"Y","N")</f>
        <v>Y</v>
      </c>
      <c r="F818" s="46">
        <f>IF(E818="Y",D818,"")</f>
        <v>88.78</v>
      </c>
    </row>
    <row r="819">
      <c r="A819" s="46" t="inlineStr">
        <is>
          <t>W17</t>
        </is>
      </c>
      <c r="B819" s="46" t="n">
        <v>33</v>
      </c>
      <c r="C819" s="47" t="n">
        <v>58</v>
      </c>
      <c r="D819" s="47" t="n">
        <v>88.59</v>
      </c>
      <c r="E819" s="46" t="str">
        <f>IF(C819&lt;=72.0,"Y","N")</f>
        <v>Y</v>
      </c>
      <c r="F819" s="46">
        <f>IF(E819="Y",D819,"")</f>
        <v>88.59</v>
      </c>
    </row>
    <row r="820">
      <c r="A820" s="46" t="inlineStr">
        <is>
          <t>W17</t>
        </is>
      </c>
      <c r="B820" s="46" t="n">
        <v>34</v>
      </c>
      <c r="C820" s="47" t="n">
        <v>73</v>
      </c>
      <c r="D820" s="47" t="n">
        <v>90.97</v>
      </c>
      <c r="E820" s="46" t="str">
        <f>IF(C820&lt;=72.0,"Y","N")</f>
        <v>N</v>
      </c>
      <c r="F820" s="46" t="str">
        <f>IF(E820="Y",D820,"")</f>
        <v/>
      </c>
    </row>
    <row r="821">
      <c r="A821" s="46" t="inlineStr">
        <is>
          <t>W17</t>
        </is>
      </c>
      <c r="B821" s="46" t="n">
        <v>35</v>
      </c>
      <c r="C821" s="47" t="n">
        <v>73</v>
      </c>
      <c r="D821" s="47" t="n">
        <v>91.41</v>
      </c>
      <c r="E821" s="46" t="str">
        <f>IF(C821&lt;=72.0,"Y","N")</f>
        <v>N</v>
      </c>
      <c r="F821" s="46" t="str">
        <f>IF(E821="Y",D821,"")</f>
        <v/>
      </c>
    </row>
    <row r="822">
      <c r="A822" s="46" t="inlineStr">
        <is>
          <t>W17</t>
        </is>
      </c>
      <c r="B822" s="46" t="n">
        <v>36</v>
      </c>
      <c r="C822" s="47" t="n">
        <v>73</v>
      </c>
      <c r="D822" s="47" t="n">
        <v>92.31</v>
      </c>
      <c r="E822" s="46" t="str">
        <f>IF(C822&lt;=72.0,"Y","N")</f>
        <v>N</v>
      </c>
      <c r="F822" s="46" t="str">
        <f>IF(E822="Y",D822,"")</f>
        <v/>
      </c>
    </row>
    <row r="823">
      <c r="A823" s="46" t="inlineStr">
        <is>
          <t>W17</t>
        </is>
      </c>
      <c r="B823" s="46" t="n">
        <v>37</v>
      </c>
      <c r="C823" s="47" t="n">
        <v>73</v>
      </c>
      <c r="D823" s="47" t="n">
        <v>91.7</v>
      </c>
      <c r="E823" s="46" t="str">
        <f>IF(C823&lt;=72.0,"Y","N")</f>
        <v>N</v>
      </c>
      <c r="F823" s="46" t="str">
        <f>IF(E823="Y",D823,"")</f>
        <v/>
      </c>
    </row>
    <row r="824">
      <c r="A824" s="46" t="inlineStr">
        <is>
          <t>W17</t>
        </is>
      </c>
      <c r="B824" s="46" t="n">
        <v>38</v>
      </c>
      <c r="C824" s="47" t="n">
        <v>73</v>
      </c>
      <c r="D824" s="47" t="n">
        <v>91.02</v>
      </c>
      <c r="E824" s="46" t="str">
        <f>IF(C824&lt;=72.0,"Y","N")</f>
        <v>N</v>
      </c>
      <c r="F824" s="46" t="str">
        <f>IF(E824="Y",D824,"")</f>
        <v/>
      </c>
    </row>
    <row r="825">
      <c r="A825" s="46" t="inlineStr">
        <is>
          <t>W17</t>
        </is>
      </c>
      <c r="B825" s="46" t="n">
        <v>39</v>
      </c>
      <c r="C825" s="47" t="n">
        <v>73</v>
      </c>
      <c r="D825" s="47" t="n">
        <v>91.44</v>
      </c>
      <c r="E825" s="46" t="str">
        <f>IF(C825&lt;=72.0,"Y","N")</f>
        <v>N</v>
      </c>
      <c r="F825" s="46" t="str">
        <f>IF(E825="Y",D825,"")</f>
        <v/>
      </c>
    </row>
    <row r="826">
      <c r="A826" s="46" t="inlineStr">
        <is>
          <t>W17</t>
        </is>
      </c>
      <c r="B826" s="46" t="n">
        <v>40</v>
      </c>
      <c r="C826" s="47" t="n">
        <v>73</v>
      </c>
      <c r="D826" s="47" t="n">
        <v>92.28</v>
      </c>
      <c r="E826" s="46" t="str">
        <f>IF(C826&lt;=72.0,"Y","N")</f>
        <v>N</v>
      </c>
      <c r="F826" s="46" t="str">
        <f>IF(E826="Y",D826,"")</f>
        <v/>
      </c>
    </row>
    <row r="827">
      <c r="A827" s="46" t="inlineStr">
        <is>
          <t>W17</t>
        </is>
      </c>
      <c r="B827" s="46" t="n">
        <v>41</v>
      </c>
      <c r="C827" s="47" t="n">
        <v>73</v>
      </c>
      <c r="D827" s="47" t="n">
        <v>91.3</v>
      </c>
      <c r="E827" s="46" t="str">
        <f>IF(C827&lt;=72.0,"Y","N")</f>
        <v>N</v>
      </c>
      <c r="F827" s="46" t="str">
        <f>IF(E827="Y",D827,"")</f>
        <v/>
      </c>
    </row>
    <row r="828">
      <c r="A828" s="46" t="inlineStr">
        <is>
          <t>W17</t>
        </is>
      </c>
      <c r="B828" s="46" t="n">
        <v>42</v>
      </c>
      <c r="C828" s="47" t="n">
        <v>73</v>
      </c>
      <c r="D828" s="47" t="n">
        <v>92.3</v>
      </c>
      <c r="E828" s="46" t="str">
        <f>IF(C828&lt;=72.0,"Y","N")</f>
        <v>N</v>
      </c>
      <c r="F828" s="46" t="str">
        <f>IF(E828="Y",D828,"")</f>
        <v/>
      </c>
    </row>
    <row r="829">
      <c r="A829" s="46" t="inlineStr">
        <is>
          <t>W17</t>
        </is>
      </c>
      <c r="B829" s="46" t="n">
        <v>43</v>
      </c>
      <c r="C829" s="47" t="n">
        <v>73</v>
      </c>
      <c r="D829" s="47" t="n">
        <v>91.12</v>
      </c>
      <c r="E829" s="46" t="str">
        <f>IF(C829&lt;=72.0,"Y","N")</f>
        <v>N</v>
      </c>
      <c r="F829" s="46" t="str">
        <f>IF(E829="Y",D829,"")</f>
        <v/>
      </c>
    </row>
    <row r="830">
      <c r="A830" s="46" t="inlineStr">
        <is>
          <t>W17</t>
        </is>
      </c>
      <c r="B830" s="46" t="n">
        <v>44</v>
      </c>
      <c r="C830" s="47" t="n">
        <v>73</v>
      </c>
      <c r="D830" s="47" t="n">
        <v>92.28</v>
      </c>
      <c r="E830" s="46" t="str">
        <f>IF(C830&lt;=72.0,"Y","N")</f>
        <v>N</v>
      </c>
      <c r="F830" s="46" t="str">
        <f>IF(E830="Y",D830,"")</f>
        <v/>
      </c>
    </row>
    <row r="831">
      <c r="A831" s="46" t="inlineStr">
        <is>
          <t>W17</t>
        </is>
      </c>
      <c r="B831" s="46" t="n">
        <v>45</v>
      </c>
      <c r="C831" s="47" t="n">
        <v>73</v>
      </c>
      <c r="D831" s="47" t="n">
        <v>91.27</v>
      </c>
      <c r="E831" s="46" t="str">
        <f>IF(C831&lt;=72.0,"Y","N")</f>
        <v>N</v>
      </c>
      <c r="F831" s="46" t="str">
        <f>IF(E831="Y",D831,"")</f>
        <v/>
      </c>
    </row>
    <row r="832">
      <c r="A832" s="46" t="inlineStr">
        <is>
          <t>W17</t>
        </is>
      </c>
      <c r="B832" s="46" t="n">
        <v>46</v>
      </c>
      <c r="C832" s="47" t="n">
        <v>73</v>
      </c>
      <c r="D832" s="47" t="n">
        <v>92.01</v>
      </c>
      <c r="E832" s="46" t="str">
        <f>IF(C832&lt;=72.0,"Y","N")</f>
        <v>N</v>
      </c>
      <c r="F832" s="46" t="str">
        <f>IF(E832="Y",D832,"")</f>
        <v/>
      </c>
    </row>
    <row r="833">
      <c r="A833" s="46" t="inlineStr">
        <is>
          <t>W17</t>
        </is>
      </c>
      <c r="B833" s="46" t="n">
        <v>47</v>
      </c>
      <c r="C833" s="47" t="n">
        <v>73</v>
      </c>
      <c r="D833" s="47" t="n">
        <v>91.61</v>
      </c>
      <c r="E833" s="46" t="str">
        <f>IF(C833&lt;=72.0,"Y","N")</f>
        <v>N</v>
      </c>
      <c r="F833" s="46" t="str">
        <f>IF(E833="Y",D833,"")</f>
        <v/>
      </c>
    </row>
    <row r="834">
      <c r="A834" s="46" t="inlineStr">
        <is>
          <t>W17</t>
        </is>
      </c>
      <c r="B834" s="46" t="n">
        <v>48</v>
      </c>
      <c r="C834" s="47" t="n">
        <v>73</v>
      </c>
      <c r="D834" s="47" t="n">
        <v>91.34</v>
      </c>
      <c r="E834" s="46" t="str">
        <f>IF(C834&lt;=72.0,"Y","N")</f>
        <v>N</v>
      </c>
      <c r="F834" s="46" t="str">
        <f>IF(E834="Y",D834,"")</f>
        <v/>
      </c>
    </row>
    <row r="835">
      <c r="A835" s="46" t="inlineStr">
        <is>
          <t>W17</t>
        </is>
      </c>
      <c r="B835" s="46" t="n">
        <v>49</v>
      </c>
      <c r="C835" s="47" t="n">
        <v>73</v>
      </c>
      <c r="D835" s="47" t="n">
        <v>92.17</v>
      </c>
      <c r="E835" s="46" t="str">
        <f>IF(C835&lt;=72.0,"Y","N")</f>
        <v>N</v>
      </c>
      <c r="F835" s="46" t="str">
        <f>IF(E835="Y",D835,"")</f>
        <v/>
      </c>
    </row>
    <row r="836">
      <c r="A836" s="46" t="inlineStr">
        <is>
          <t>W18</t>
        </is>
      </c>
      <c r="B836" s="46" t="n">
        <v>1</v>
      </c>
      <c r="C836" s="47" t="n">
        <v>0</v>
      </c>
      <c r="D836" s="47" t="n">
        <v>81.59</v>
      </c>
      <c r="E836" s="46" t="str">
        <f>IF(C836&lt;=72.0,"Y","N")</f>
        <v>Y</v>
      </c>
      <c r="F836" s="46">
        <f>IF(E836="Y",D836,"")</f>
        <v>81.59</v>
      </c>
    </row>
    <row r="837">
      <c r="A837" s="46" t="inlineStr">
        <is>
          <t>W18</t>
        </is>
      </c>
      <c r="B837" s="46" t="n">
        <v>2</v>
      </c>
      <c r="C837" s="47" t="n">
        <v>22</v>
      </c>
      <c r="D837" s="47" t="n">
        <v>82.1</v>
      </c>
      <c r="E837" s="46" t="str">
        <f>IF(C837&lt;=72.0,"Y","N")</f>
        <v>Y</v>
      </c>
      <c r="F837" s="46">
        <f>IF(E837="Y",D837,"")</f>
        <v>82.1</v>
      </c>
    </row>
    <row r="838">
      <c r="A838" s="46" t="inlineStr">
        <is>
          <t>W18</t>
        </is>
      </c>
      <c r="B838" s="46" t="n">
        <v>3</v>
      </c>
      <c r="C838" s="47" t="n">
        <v>22</v>
      </c>
      <c r="D838" s="47" t="n">
        <v>82.61</v>
      </c>
      <c r="E838" s="46" t="str">
        <f>IF(C838&lt;=72.0,"Y","N")</f>
        <v>Y</v>
      </c>
      <c r="F838" s="46">
        <f>IF(E838="Y",D838,"")</f>
        <v>82.61</v>
      </c>
    </row>
    <row r="839">
      <c r="A839" s="46" t="inlineStr">
        <is>
          <t>W18</t>
        </is>
      </c>
      <c r="B839" s="46" t="n">
        <v>4</v>
      </c>
      <c r="C839" s="47" t="n">
        <v>22</v>
      </c>
      <c r="D839" s="47" t="n">
        <v>82.51</v>
      </c>
      <c r="E839" s="46" t="str">
        <f>IF(C839&lt;=72.0,"Y","N")</f>
        <v>Y</v>
      </c>
      <c r="F839" s="46">
        <f>IF(E839="Y",D839,"")</f>
        <v>82.51</v>
      </c>
    </row>
    <row r="840">
      <c r="A840" s="46" t="inlineStr">
        <is>
          <t>W18</t>
        </is>
      </c>
      <c r="B840" s="46" t="n">
        <v>5</v>
      </c>
      <c r="C840" s="47" t="n">
        <v>22</v>
      </c>
      <c r="D840" s="47" t="n">
        <v>82.06</v>
      </c>
      <c r="E840" s="46" t="str">
        <f>IF(C840&lt;=72.0,"Y","N")</f>
        <v>Y</v>
      </c>
      <c r="F840" s="46">
        <f>IF(E840="Y",D840,"")</f>
        <v>82.06</v>
      </c>
    </row>
    <row r="841">
      <c r="A841" s="46" t="inlineStr">
        <is>
          <t>W18</t>
        </is>
      </c>
      <c r="B841" s="46" t="n">
        <v>6</v>
      </c>
      <c r="C841" s="47" t="n">
        <v>22</v>
      </c>
      <c r="D841" s="47" t="n">
        <v>83.28</v>
      </c>
      <c r="E841" s="46" t="str">
        <f>IF(C841&lt;=72.0,"Y","N")</f>
        <v>Y</v>
      </c>
      <c r="F841" s="46">
        <f>IF(E841="Y",D841,"")</f>
        <v>83.28</v>
      </c>
    </row>
    <row r="842">
      <c r="A842" s="46" t="inlineStr">
        <is>
          <t>W18</t>
        </is>
      </c>
      <c r="B842" s="46" t="n">
        <v>7</v>
      </c>
      <c r="C842" s="47" t="n">
        <v>22</v>
      </c>
      <c r="D842" s="47" t="n">
        <v>82.59</v>
      </c>
      <c r="E842" s="46" t="str">
        <f>IF(C842&lt;=72.0,"Y","N")</f>
        <v>Y</v>
      </c>
      <c r="F842" s="46">
        <f>IF(E842="Y",D842,"")</f>
        <v>82.59</v>
      </c>
    </row>
    <row r="843">
      <c r="A843" s="46" t="inlineStr">
        <is>
          <t>W18</t>
        </is>
      </c>
      <c r="B843" s="46" t="n">
        <v>8</v>
      </c>
      <c r="C843" s="47" t="n">
        <v>22</v>
      </c>
      <c r="D843" s="47" t="n">
        <v>82.84</v>
      </c>
      <c r="E843" s="46" t="str">
        <f>IF(C843&lt;=72.0,"Y","N")</f>
        <v>Y</v>
      </c>
      <c r="F843" s="46">
        <f>IF(E843="Y",D843,"")</f>
        <v>82.84</v>
      </c>
    </row>
    <row r="844">
      <c r="A844" s="46" t="inlineStr">
        <is>
          <t>W18</t>
        </is>
      </c>
      <c r="B844" s="46" t="n">
        <v>9</v>
      </c>
      <c r="C844" s="47" t="n">
        <v>22</v>
      </c>
      <c r="D844" s="47" t="n">
        <v>82.71</v>
      </c>
      <c r="E844" s="46" t="str">
        <f>IF(C844&lt;=72.0,"Y","N")</f>
        <v>Y</v>
      </c>
      <c r="F844" s="46">
        <f>IF(E844="Y",D844,"")</f>
        <v>82.71</v>
      </c>
    </row>
    <row r="845">
      <c r="A845" s="46" t="inlineStr">
        <is>
          <t>W18</t>
        </is>
      </c>
      <c r="B845" s="46" t="n">
        <v>10</v>
      </c>
      <c r="C845" s="47" t="n">
        <v>40</v>
      </c>
      <c r="D845" s="47" t="n">
        <v>84.28</v>
      </c>
      <c r="E845" s="46" t="str">
        <f>IF(C845&lt;=72.0,"Y","N")</f>
        <v>Y</v>
      </c>
      <c r="F845" s="46">
        <f>IF(E845="Y",D845,"")</f>
        <v>84.28</v>
      </c>
    </row>
    <row r="846">
      <c r="A846" s="46" t="inlineStr">
        <is>
          <t>W18</t>
        </is>
      </c>
      <c r="B846" s="46" t="n">
        <v>11</v>
      </c>
      <c r="C846" s="47" t="n">
        <v>40</v>
      </c>
      <c r="D846" s="47" t="n">
        <v>84.84</v>
      </c>
      <c r="E846" s="46" t="str">
        <f>IF(C846&lt;=72.0,"Y","N")</f>
        <v>Y</v>
      </c>
      <c r="F846" s="46">
        <f>IF(E846="Y",D846,"")</f>
        <v>84.84</v>
      </c>
    </row>
    <row r="847">
      <c r="A847" s="46" t="inlineStr">
        <is>
          <t>W18</t>
        </is>
      </c>
      <c r="B847" s="46" t="n">
        <v>12</v>
      </c>
      <c r="C847" s="47" t="n">
        <v>40</v>
      </c>
      <c r="D847" s="47" t="n">
        <v>85.28</v>
      </c>
      <c r="E847" s="46" t="str">
        <f>IF(C847&lt;=72.0,"Y","N")</f>
        <v>Y</v>
      </c>
      <c r="F847" s="46">
        <f>IF(E847="Y",D847,"")</f>
        <v>85.28</v>
      </c>
    </row>
    <row r="848">
      <c r="A848" s="46" t="inlineStr">
        <is>
          <t>W18</t>
        </is>
      </c>
      <c r="B848" s="46" t="n">
        <v>13</v>
      </c>
      <c r="C848" s="47" t="n">
        <v>40</v>
      </c>
      <c r="D848" s="47" t="n">
        <v>84.75</v>
      </c>
      <c r="E848" s="46" t="str">
        <f>IF(C848&lt;=72.0,"Y","N")</f>
        <v>Y</v>
      </c>
      <c r="F848" s="46">
        <f>IF(E848="Y",D848,"")</f>
        <v>84.75</v>
      </c>
    </row>
    <row r="849">
      <c r="A849" s="46" t="inlineStr">
        <is>
          <t>W18</t>
        </is>
      </c>
      <c r="B849" s="46" t="n">
        <v>14</v>
      </c>
      <c r="C849" s="47" t="n">
        <v>40</v>
      </c>
      <c r="D849" s="47" t="n">
        <v>85.3</v>
      </c>
      <c r="E849" s="46" t="str">
        <f>IF(C849&lt;=72.0,"Y","N")</f>
        <v>Y</v>
      </c>
      <c r="F849" s="46">
        <f>IF(E849="Y",D849,"")</f>
        <v>85.3</v>
      </c>
    </row>
    <row r="850">
      <c r="A850" s="46" t="inlineStr">
        <is>
          <t>W18</t>
        </is>
      </c>
      <c r="B850" s="46" t="n">
        <v>15</v>
      </c>
      <c r="C850" s="47" t="n">
        <v>40</v>
      </c>
      <c r="D850" s="47" t="n">
        <v>84.42</v>
      </c>
      <c r="E850" s="46" t="str">
        <f>IF(C850&lt;=72.0,"Y","N")</f>
        <v>Y</v>
      </c>
      <c r="F850" s="46">
        <f>IF(E850="Y",D850,"")</f>
        <v>84.42</v>
      </c>
    </row>
    <row r="851">
      <c r="A851" s="46" t="inlineStr">
        <is>
          <t>W18</t>
        </is>
      </c>
      <c r="B851" s="46" t="n">
        <v>16</v>
      </c>
      <c r="C851" s="47" t="n">
        <v>40</v>
      </c>
      <c r="D851" s="47" t="n">
        <v>84.44</v>
      </c>
      <c r="E851" s="46" t="str">
        <f>IF(C851&lt;=72.0,"Y","N")</f>
        <v>Y</v>
      </c>
      <c r="F851" s="46">
        <f>IF(E851="Y",D851,"")</f>
        <v>84.44</v>
      </c>
    </row>
    <row r="852">
      <c r="A852" s="46" t="inlineStr">
        <is>
          <t>W18</t>
        </is>
      </c>
      <c r="B852" s="46" t="n">
        <v>17</v>
      </c>
      <c r="C852" s="47" t="n">
        <v>40</v>
      </c>
      <c r="D852" s="47" t="n">
        <v>84.12</v>
      </c>
      <c r="E852" s="46" t="str">
        <f>IF(C852&lt;=72.0,"Y","N")</f>
        <v>Y</v>
      </c>
      <c r="F852" s="46">
        <f>IF(E852="Y",D852,"")</f>
        <v>84.12</v>
      </c>
    </row>
    <row r="853">
      <c r="A853" s="46" t="inlineStr">
        <is>
          <t>W18</t>
        </is>
      </c>
      <c r="B853" s="46" t="n">
        <v>18</v>
      </c>
      <c r="C853" s="47" t="n">
        <v>40</v>
      </c>
      <c r="D853" s="47" t="n">
        <v>85.47</v>
      </c>
      <c r="E853" s="46" t="str">
        <f>IF(C853&lt;=72.0,"Y","N")</f>
        <v>Y</v>
      </c>
      <c r="F853" s="46">
        <f>IF(E853="Y",D853,"")</f>
        <v>85.47</v>
      </c>
    </row>
    <row r="854">
      <c r="A854" s="46" t="inlineStr">
        <is>
          <t>W18</t>
        </is>
      </c>
      <c r="B854" s="46" t="n">
        <v>19</v>
      </c>
      <c r="C854" s="47" t="n">
        <v>40</v>
      </c>
      <c r="D854" s="47" t="n">
        <v>84.86</v>
      </c>
      <c r="E854" s="46" t="str">
        <f>IF(C854&lt;=72.0,"Y","N")</f>
        <v>Y</v>
      </c>
      <c r="F854" s="46">
        <f>IF(E854="Y",D854,"")</f>
        <v>84.86</v>
      </c>
    </row>
    <row r="855">
      <c r="A855" s="46" t="inlineStr">
        <is>
          <t>W18</t>
        </is>
      </c>
      <c r="B855" s="46" t="n">
        <v>20</v>
      </c>
      <c r="C855" s="47" t="n">
        <v>40</v>
      </c>
      <c r="D855" s="47" t="n">
        <v>84.21</v>
      </c>
      <c r="E855" s="46" t="str">
        <f>IF(C855&lt;=72.0,"Y","N")</f>
        <v>Y</v>
      </c>
      <c r="F855" s="46">
        <f>IF(E855="Y",D855,"")</f>
        <v>84.21</v>
      </c>
    </row>
    <row r="856">
      <c r="A856" s="46" t="inlineStr">
        <is>
          <t>W18</t>
        </is>
      </c>
      <c r="B856" s="46" t="n">
        <v>21</v>
      </c>
      <c r="C856" s="47" t="n">
        <v>40</v>
      </c>
      <c r="D856" s="47" t="n">
        <v>85.51</v>
      </c>
      <c r="E856" s="46" t="str">
        <f>IF(C856&lt;=72.0,"Y","N")</f>
        <v>Y</v>
      </c>
      <c r="F856" s="46">
        <f>IF(E856="Y",D856,"")</f>
        <v>85.51</v>
      </c>
    </row>
    <row r="857">
      <c r="A857" s="46" t="inlineStr">
        <is>
          <t>W18</t>
        </is>
      </c>
      <c r="B857" s="46" t="n">
        <v>22</v>
      </c>
      <c r="C857" s="47" t="n">
        <v>58</v>
      </c>
      <c r="D857" s="47" t="n">
        <v>88.58</v>
      </c>
      <c r="E857" s="46" t="str">
        <f>IF(C857&lt;=72.0,"Y","N")</f>
        <v>Y</v>
      </c>
      <c r="F857" s="46">
        <f>IF(E857="Y",D857,"")</f>
        <v>88.58</v>
      </c>
    </row>
    <row r="858">
      <c r="A858" s="46" t="inlineStr">
        <is>
          <t>W18</t>
        </is>
      </c>
      <c r="B858" s="46" t="n">
        <v>23</v>
      </c>
      <c r="C858" s="47" t="n">
        <v>58</v>
      </c>
      <c r="D858" s="47" t="n">
        <v>87.2</v>
      </c>
      <c r="E858" s="46" t="str">
        <f>IF(C858&lt;=72.0,"Y","N")</f>
        <v>Y</v>
      </c>
      <c r="F858" s="46">
        <f>IF(E858="Y",D858,"")</f>
        <v>87.2</v>
      </c>
    </row>
    <row r="859">
      <c r="A859" s="46" t="inlineStr">
        <is>
          <t>W18</t>
        </is>
      </c>
      <c r="B859" s="46" t="n">
        <v>24</v>
      </c>
      <c r="C859" s="47" t="n">
        <v>58</v>
      </c>
      <c r="D859" s="47" t="n">
        <v>88.19</v>
      </c>
      <c r="E859" s="46" t="str">
        <f>IF(C859&lt;=72.0,"Y","N")</f>
        <v>Y</v>
      </c>
      <c r="F859" s="46">
        <f>IF(E859="Y",D859,"")</f>
        <v>88.19</v>
      </c>
    </row>
    <row r="860">
      <c r="A860" s="46" t="inlineStr">
        <is>
          <t>W18</t>
        </is>
      </c>
      <c r="B860" s="46" t="n">
        <v>25</v>
      </c>
      <c r="C860" s="47" t="n">
        <v>58</v>
      </c>
      <c r="D860" s="47" t="n">
        <v>88.27</v>
      </c>
      <c r="E860" s="46" t="str">
        <f>IF(C860&lt;=72.0,"Y","N")</f>
        <v>Y</v>
      </c>
      <c r="F860" s="46">
        <f>IF(E860="Y",D860,"")</f>
        <v>88.27</v>
      </c>
    </row>
    <row r="861">
      <c r="A861" s="46" t="inlineStr">
        <is>
          <t>W18</t>
        </is>
      </c>
      <c r="B861" s="46" t="n">
        <v>26</v>
      </c>
      <c r="C861" s="47" t="n">
        <v>58</v>
      </c>
      <c r="D861" s="47" t="n">
        <v>87.78</v>
      </c>
      <c r="E861" s="46" t="str">
        <f>IF(C861&lt;=72.0,"Y","N")</f>
        <v>Y</v>
      </c>
      <c r="F861" s="46">
        <f>IF(E861="Y",D861,"")</f>
        <v>87.78</v>
      </c>
    </row>
    <row r="862">
      <c r="A862" s="46" t="inlineStr">
        <is>
          <t>W18</t>
        </is>
      </c>
      <c r="B862" s="46" t="n">
        <v>27</v>
      </c>
      <c r="C862" s="47" t="n">
        <v>58</v>
      </c>
      <c r="D862" s="47" t="n">
        <v>88.3</v>
      </c>
      <c r="E862" s="46" t="str">
        <f>IF(C862&lt;=72.0,"Y","N")</f>
        <v>Y</v>
      </c>
      <c r="F862" s="46">
        <f>IF(E862="Y",D862,"")</f>
        <v>88.3</v>
      </c>
    </row>
    <row r="863">
      <c r="A863" s="46" t="inlineStr">
        <is>
          <t>W18</t>
        </is>
      </c>
      <c r="B863" s="46" t="n">
        <v>28</v>
      </c>
      <c r="C863" s="47" t="n">
        <v>58</v>
      </c>
      <c r="D863" s="47" t="n">
        <v>88.02</v>
      </c>
      <c r="E863" s="46" t="str">
        <f>IF(C863&lt;=72.0,"Y","N")</f>
        <v>Y</v>
      </c>
      <c r="F863" s="46">
        <f>IF(E863="Y",D863,"")</f>
        <v>88.02</v>
      </c>
    </row>
    <row r="864">
      <c r="A864" s="46" t="inlineStr">
        <is>
          <t>W18</t>
        </is>
      </c>
      <c r="B864" s="46" t="n">
        <v>29</v>
      </c>
      <c r="C864" s="47" t="n">
        <v>58</v>
      </c>
      <c r="D864" s="47" t="n">
        <v>87.25</v>
      </c>
      <c r="E864" s="46" t="str">
        <f>IF(C864&lt;=72.0,"Y","N")</f>
        <v>Y</v>
      </c>
      <c r="F864" s="46">
        <f>IF(E864="Y",D864,"")</f>
        <v>87.25</v>
      </c>
    </row>
    <row r="865">
      <c r="A865" s="46" t="inlineStr">
        <is>
          <t>W18</t>
        </is>
      </c>
      <c r="B865" s="46" t="n">
        <v>30</v>
      </c>
      <c r="C865" s="47" t="n">
        <v>58</v>
      </c>
      <c r="D865" s="47" t="n">
        <v>88.52</v>
      </c>
      <c r="E865" s="46" t="str">
        <f>IF(C865&lt;=72.0,"Y","N")</f>
        <v>Y</v>
      </c>
      <c r="F865" s="46">
        <f>IF(E865="Y",D865,"")</f>
        <v>88.52</v>
      </c>
    </row>
    <row r="866">
      <c r="A866" s="46" t="inlineStr">
        <is>
          <t>W18</t>
        </is>
      </c>
      <c r="B866" s="46" t="n">
        <v>31</v>
      </c>
      <c r="C866" s="47" t="n">
        <v>58</v>
      </c>
      <c r="D866" s="47" t="n">
        <v>88.31</v>
      </c>
      <c r="E866" s="46" t="str">
        <f>IF(C866&lt;=72.0,"Y","N")</f>
        <v>Y</v>
      </c>
      <c r="F866" s="46">
        <f>IF(E866="Y",D866,"")</f>
        <v>88.31</v>
      </c>
    </row>
    <row r="867">
      <c r="A867" s="46" t="inlineStr">
        <is>
          <t>W18</t>
        </is>
      </c>
      <c r="B867" s="46" t="n">
        <v>32</v>
      </c>
      <c r="C867" s="47" t="n">
        <v>58</v>
      </c>
      <c r="D867" s="47" t="n">
        <v>87.66</v>
      </c>
      <c r="E867" s="46" t="str">
        <f>IF(C867&lt;=72.0,"Y","N")</f>
        <v>Y</v>
      </c>
      <c r="F867" s="46">
        <f>IF(E867="Y",D867,"")</f>
        <v>87.66</v>
      </c>
    </row>
    <row r="868">
      <c r="A868" s="46" t="inlineStr">
        <is>
          <t>W18</t>
        </is>
      </c>
      <c r="B868" s="46" t="n">
        <v>33</v>
      </c>
      <c r="C868" s="47" t="n">
        <v>58</v>
      </c>
      <c r="D868" s="47" t="n">
        <v>87.81</v>
      </c>
      <c r="E868" s="46" t="str">
        <f>IF(C868&lt;=72.0,"Y","N")</f>
        <v>Y</v>
      </c>
      <c r="F868" s="46">
        <f>IF(E868="Y",D868,"")</f>
        <v>87.81</v>
      </c>
    </row>
    <row r="869">
      <c r="A869" s="46" t="inlineStr">
        <is>
          <t>W18</t>
        </is>
      </c>
      <c r="B869" s="46" t="n">
        <v>34</v>
      </c>
      <c r="C869" s="47" t="n">
        <v>73</v>
      </c>
      <c r="D869" s="47" t="n">
        <v>91.41</v>
      </c>
      <c r="E869" s="46" t="str">
        <f>IF(C869&lt;=72.0,"Y","N")</f>
        <v>N</v>
      </c>
      <c r="F869" s="46" t="str">
        <f>IF(E869="Y",D869,"")</f>
        <v/>
      </c>
    </row>
    <row r="870">
      <c r="A870" s="46" t="inlineStr">
        <is>
          <t>W18</t>
        </is>
      </c>
      <c r="B870" s="46" t="n">
        <v>35</v>
      </c>
      <c r="C870" s="47" t="n">
        <v>73</v>
      </c>
      <c r="D870" s="47" t="n">
        <v>91.44</v>
      </c>
      <c r="E870" s="46" t="str">
        <f>IF(C870&lt;=72.0,"Y","N")</f>
        <v>N</v>
      </c>
      <c r="F870" s="46" t="str">
        <f>IF(E870="Y",D870,"")</f>
        <v/>
      </c>
    </row>
    <row r="871">
      <c r="A871" s="46" t="inlineStr">
        <is>
          <t>W18</t>
        </is>
      </c>
      <c r="B871" s="46" t="n">
        <v>36</v>
      </c>
      <c r="C871" s="47" t="n">
        <v>73</v>
      </c>
      <c r="D871" s="47" t="n">
        <v>91.42</v>
      </c>
      <c r="E871" s="46" t="str">
        <f>IF(C871&lt;=72.0,"Y","N")</f>
        <v>N</v>
      </c>
      <c r="F871" s="46" t="str">
        <f>IF(E871="Y",D871,"")</f>
        <v/>
      </c>
    </row>
    <row r="872">
      <c r="A872" s="46" t="inlineStr">
        <is>
          <t>W18</t>
        </is>
      </c>
      <c r="B872" s="46" t="n">
        <v>37</v>
      </c>
      <c r="C872" s="47" t="n">
        <v>73</v>
      </c>
      <c r="D872" s="47" t="n">
        <v>90.79</v>
      </c>
      <c r="E872" s="46" t="str">
        <f>IF(C872&lt;=72.0,"Y","N")</f>
        <v>N</v>
      </c>
      <c r="F872" s="46" t="str">
        <f>IF(E872="Y",D872,"")</f>
        <v/>
      </c>
    </row>
    <row r="873">
      <c r="A873" s="46" t="inlineStr">
        <is>
          <t>W18</t>
        </is>
      </c>
      <c r="B873" s="46" t="n">
        <v>38</v>
      </c>
      <c r="C873" s="47" t="n">
        <v>73</v>
      </c>
      <c r="D873" s="47" t="n">
        <v>91.8</v>
      </c>
      <c r="E873" s="46" t="str">
        <f>IF(C873&lt;=72.0,"Y","N")</f>
        <v>N</v>
      </c>
      <c r="F873" s="46" t="str">
        <f>IF(E873="Y",D873,"")</f>
        <v/>
      </c>
    </row>
    <row r="874">
      <c r="A874" s="46" t="inlineStr">
        <is>
          <t>W18</t>
        </is>
      </c>
      <c r="B874" s="46" t="n">
        <v>39</v>
      </c>
      <c r="C874" s="47" t="n">
        <v>73</v>
      </c>
      <c r="D874" s="47" t="n">
        <v>90.91</v>
      </c>
      <c r="E874" s="46" t="str">
        <f>IF(C874&lt;=72.0,"Y","N")</f>
        <v>N</v>
      </c>
      <c r="F874" s="46" t="str">
        <f>IF(E874="Y",D874,"")</f>
        <v/>
      </c>
    </row>
    <row r="875">
      <c r="A875" s="46" t="inlineStr">
        <is>
          <t>W18</t>
        </is>
      </c>
      <c r="B875" s="46" t="n">
        <v>40</v>
      </c>
      <c r="C875" s="47" t="n">
        <v>73</v>
      </c>
      <c r="D875" s="47" t="n">
        <v>91.96</v>
      </c>
      <c r="E875" s="46" t="str">
        <f>IF(C875&lt;=72.0,"Y","N")</f>
        <v>N</v>
      </c>
      <c r="F875" s="46" t="str">
        <f>IF(E875="Y",D875,"")</f>
        <v/>
      </c>
    </row>
    <row r="876">
      <c r="A876" s="46" t="inlineStr">
        <is>
          <t>W18</t>
        </is>
      </c>
      <c r="B876" s="46" t="n">
        <v>41</v>
      </c>
      <c r="C876" s="47" t="n">
        <v>73</v>
      </c>
      <c r="D876" s="47" t="n">
        <v>91.06</v>
      </c>
      <c r="E876" s="46" t="str">
        <f>IF(C876&lt;=72.0,"Y","N")</f>
        <v>N</v>
      </c>
      <c r="F876" s="46" t="str">
        <f>IF(E876="Y",D876,"")</f>
        <v/>
      </c>
    </row>
    <row r="877">
      <c r="A877" s="46" t="inlineStr">
        <is>
          <t>W18</t>
        </is>
      </c>
      <c r="B877" s="46" t="n">
        <v>42</v>
      </c>
      <c r="C877" s="47" t="n">
        <v>73</v>
      </c>
      <c r="D877" s="47" t="n">
        <v>90.69</v>
      </c>
      <c r="E877" s="46" t="str">
        <f>IF(C877&lt;=72.0,"Y","N")</f>
        <v>N</v>
      </c>
      <c r="F877" s="46" t="str">
        <f>IF(E877="Y",D877,"")</f>
        <v/>
      </c>
    </row>
    <row r="878">
      <c r="A878" s="46" t="inlineStr">
        <is>
          <t>W18</t>
        </is>
      </c>
      <c r="B878" s="46" t="n">
        <v>43</v>
      </c>
      <c r="C878" s="47" t="n">
        <v>73</v>
      </c>
      <c r="D878" s="47" t="n">
        <v>91.22</v>
      </c>
      <c r="E878" s="46" t="str">
        <f>IF(C878&lt;=72.0,"Y","N")</f>
        <v>N</v>
      </c>
      <c r="F878" s="46" t="str">
        <f>IF(E878="Y",D878,"")</f>
        <v/>
      </c>
    </row>
    <row r="879">
      <c r="A879" s="46" t="inlineStr">
        <is>
          <t>W18</t>
        </is>
      </c>
      <c r="B879" s="46" t="n">
        <v>44</v>
      </c>
      <c r="C879" s="47" t="n">
        <v>73</v>
      </c>
      <c r="D879" s="47" t="n">
        <v>91.65</v>
      </c>
      <c r="E879" s="46" t="str">
        <f>IF(C879&lt;=72.0,"Y","N")</f>
        <v>N</v>
      </c>
      <c r="F879" s="46" t="str">
        <f>IF(E879="Y",D879,"")</f>
        <v/>
      </c>
    </row>
    <row r="880">
      <c r="A880" s="46" t="inlineStr">
        <is>
          <t>W18</t>
        </is>
      </c>
      <c r="B880" s="46" t="n">
        <v>45</v>
      </c>
      <c r="C880" s="47" t="n">
        <v>73</v>
      </c>
      <c r="D880" s="47" t="n">
        <v>92.07</v>
      </c>
      <c r="E880" s="46" t="str">
        <f>IF(C880&lt;=72.0,"Y","N")</f>
        <v>N</v>
      </c>
      <c r="F880" s="46" t="str">
        <f>IF(E880="Y",D880,"")</f>
        <v/>
      </c>
    </row>
    <row r="881">
      <c r="A881" s="46" t="inlineStr">
        <is>
          <t>W18</t>
        </is>
      </c>
      <c r="B881" s="46" t="n">
        <v>46</v>
      </c>
      <c r="C881" s="47" t="n">
        <v>73</v>
      </c>
      <c r="D881" s="47" t="n">
        <v>92.07</v>
      </c>
      <c r="E881" s="46" t="str">
        <f>IF(C881&lt;=72.0,"Y","N")</f>
        <v>N</v>
      </c>
      <c r="F881" s="46" t="str">
        <f>IF(E881="Y",D881,"")</f>
        <v/>
      </c>
    </row>
    <row r="882">
      <c r="A882" s="46" t="inlineStr">
        <is>
          <t>W18</t>
        </is>
      </c>
      <c r="B882" s="46" t="n">
        <v>47</v>
      </c>
      <c r="C882" s="47" t="n">
        <v>73</v>
      </c>
      <c r="D882" s="47" t="n">
        <v>91.47</v>
      </c>
      <c r="E882" s="46" t="str">
        <f>IF(C882&lt;=72.0,"Y","N")</f>
        <v>N</v>
      </c>
      <c r="F882" s="46" t="str">
        <f>IF(E882="Y",D882,"")</f>
        <v/>
      </c>
    </row>
    <row r="883">
      <c r="A883" s="46" t="inlineStr">
        <is>
          <t>W18</t>
        </is>
      </c>
      <c r="B883" s="46" t="n">
        <v>48</v>
      </c>
      <c r="C883" s="47" t="n">
        <v>73</v>
      </c>
      <c r="D883" s="47" t="n">
        <v>91.28</v>
      </c>
      <c r="E883" s="46" t="str">
        <f>IF(C883&lt;=72.0,"Y","N")</f>
        <v>N</v>
      </c>
      <c r="F883" s="46" t="str">
        <f>IF(E883="Y",D883,"")</f>
        <v/>
      </c>
    </row>
    <row r="884">
      <c r="A884" s="46" t="inlineStr">
        <is>
          <t>W18</t>
        </is>
      </c>
      <c r="B884" s="46" t="n">
        <v>49</v>
      </c>
      <c r="C884" s="47" t="n">
        <v>73</v>
      </c>
      <c r="D884" s="47" t="n">
        <v>91.63</v>
      </c>
      <c r="E884" s="46" t="str">
        <f>IF(C884&lt;=72.0,"Y","N")</f>
        <v>N</v>
      </c>
      <c r="F884" s="46" t="str">
        <f>IF(E884="Y",D884,"")</f>
        <v/>
      </c>
    </row>
    <row r="885">
      <c r="A885" s="46" t="inlineStr">
        <is>
          <t>W19</t>
        </is>
      </c>
      <c r="B885" s="46" t="n">
        <v>1</v>
      </c>
      <c r="C885" s="47" t="n">
        <v>0</v>
      </c>
      <c r="D885" s="47" t="n">
        <v>80.49</v>
      </c>
      <c r="E885" s="46" t="str">
        <f>IF(C885&lt;=72.0,"Y","N")</f>
        <v>Y</v>
      </c>
      <c r="F885" s="46">
        <f>IF(E885="Y",D885,"")</f>
        <v>80.49</v>
      </c>
    </row>
    <row r="886">
      <c r="A886" s="46" t="inlineStr">
        <is>
          <t>W19</t>
        </is>
      </c>
      <c r="B886" s="46" t="n">
        <v>2</v>
      </c>
      <c r="C886" s="47" t="n">
        <v>22</v>
      </c>
      <c r="D886" s="47" t="n">
        <v>80.88</v>
      </c>
      <c r="E886" s="46" t="str">
        <f>IF(C886&lt;=72.0,"Y","N")</f>
        <v>Y</v>
      </c>
      <c r="F886" s="46">
        <f>IF(E886="Y",D886,"")</f>
        <v>80.88</v>
      </c>
    </row>
    <row r="887">
      <c r="A887" s="46" t="inlineStr">
        <is>
          <t>W19</t>
        </is>
      </c>
      <c r="B887" s="46" t="n">
        <v>3</v>
      </c>
      <c r="C887" s="47" t="n">
        <v>22</v>
      </c>
      <c r="D887" s="47" t="n">
        <v>81.08</v>
      </c>
      <c r="E887" s="46" t="str">
        <f>IF(C887&lt;=72.0,"Y","N")</f>
        <v>Y</v>
      </c>
      <c r="F887" s="46">
        <f>IF(E887="Y",D887,"")</f>
        <v>81.08</v>
      </c>
    </row>
    <row r="888">
      <c r="A888" s="46" t="inlineStr">
        <is>
          <t>W19</t>
        </is>
      </c>
      <c r="B888" s="46" t="n">
        <v>4</v>
      </c>
      <c r="C888" s="47" t="n">
        <v>22</v>
      </c>
      <c r="D888" s="47" t="n">
        <v>81.51</v>
      </c>
      <c r="E888" s="46" t="str">
        <f>IF(C888&lt;=72.0,"Y","N")</f>
        <v>Y</v>
      </c>
      <c r="F888" s="46">
        <f>IF(E888="Y",D888,"")</f>
        <v>81.51</v>
      </c>
    </row>
    <row r="889">
      <c r="A889" s="46" t="inlineStr">
        <is>
          <t>W19</t>
        </is>
      </c>
      <c r="B889" s="46" t="n">
        <v>5</v>
      </c>
      <c r="C889" s="47" t="n">
        <v>22</v>
      </c>
      <c r="D889" s="47" t="n">
        <v>81.77</v>
      </c>
      <c r="E889" s="46" t="str">
        <f>IF(C889&lt;=72.0,"Y","N")</f>
        <v>Y</v>
      </c>
      <c r="F889" s="46">
        <f>IF(E889="Y",D889,"")</f>
        <v>81.77</v>
      </c>
    </row>
    <row r="890">
      <c r="A890" s="46" t="inlineStr">
        <is>
          <t>W19</t>
        </is>
      </c>
      <c r="B890" s="46" t="n">
        <v>6</v>
      </c>
      <c r="C890" s="47" t="n">
        <v>22</v>
      </c>
      <c r="D890" s="47" t="n">
        <v>81.03</v>
      </c>
      <c r="E890" s="46" t="str">
        <f>IF(C890&lt;=72.0,"Y","N")</f>
        <v>Y</v>
      </c>
      <c r="F890" s="46">
        <f>IF(E890="Y",D890,"")</f>
        <v>81.03</v>
      </c>
    </row>
    <row r="891">
      <c r="A891" s="46" t="inlineStr">
        <is>
          <t>W19</t>
        </is>
      </c>
      <c r="B891" s="46" t="n">
        <v>7</v>
      </c>
      <c r="C891" s="47" t="n">
        <v>22</v>
      </c>
      <c r="D891" s="47" t="n">
        <v>82.41</v>
      </c>
      <c r="E891" s="46" t="str">
        <f>IF(C891&lt;=72.0,"Y","N")</f>
        <v>Y</v>
      </c>
      <c r="F891" s="46">
        <f>IF(E891="Y",D891,"")</f>
        <v>82.41</v>
      </c>
    </row>
    <row r="892">
      <c r="A892" s="46" t="inlineStr">
        <is>
          <t>W19</t>
        </is>
      </c>
      <c r="B892" s="46" t="n">
        <v>8</v>
      </c>
      <c r="C892" s="47" t="n">
        <v>22</v>
      </c>
      <c r="D892" s="47" t="n">
        <v>80.86</v>
      </c>
      <c r="E892" s="46" t="str">
        <f>IF(C892&lt;=72.0,"Y","N")</f>
        <v>Y</v>
      </c>
      <c r="F892" s="46">
        <f>IF(E892="Y",D892,"")</f>
        <v>80.86</v>
      </c>
    </row>
    <row r="893">
      <c r="A893" s="46" t="inlineStr">
        <is>
          <t>W19</t>
        </is>
      </c>
      <c r="B893" s="46" t="n">
        <v>9</v>
      </c>
      <c r="C893" s="47" t="n">
        <v>22</v>
      </c>
      <c r="D893" s="47" t="n">
        <v>80.98</v>
      </c>
      <c r="E893" s="46" t="str">
        <f>IF(C893&lt;=72.0,"Y","N")</f>
        <v>Y</v>
      </c>
      <c r="F893" s="46">
        <f>IF(E893="Y",D893,"")</f>
        <v>80.98</v>
      </c>
    </row>
    <row r="894">
      <c r="A894" s="46" t="inlineStr">
        <is>
          <t>W19</t>
        </is>
      </c>
      <c r="B894" s="46" t="n">
        <v>10</v>
      </c>
      <c r="C894" s="47" t="n">
        <v>40</v>
      </c>
      <c r="D894" s="47" t="n">
        <v>83.57</v>
      </c>
      <c r="E894" s="46" t="str">
        <f>IF(C894&lt;=72.0,"Y","N")</f>
        <v>Y</v>
      </c>
      <c r="F894" s="46">
        <f>IF(E894="Y",D894,"")</f>
        <v>83.57</v>
      </c>
    </row>
    <row r="895">
      <c r="A895" s="46" t="inlineStr">
        <is>
          <t>W19</t>
        </is>
      </c>
      <c r="B895" s="46" t="n">
        <v>11</v>
      </c>
      <c r="C895" s="47" t="n">
        <v>40</v>
      </c>
      <c r="D895" s="47" t="n">
        <v>83.19</v>
      </c>
      <c r="E895" s="46" t="str">
        <f>IF(C895&lt;=72.0,"Y","N")</f>
        <v>Y</v>
      </c>
      <c r="F895" s="46">
        <f>IF(E895="Y",D895,"")</f>
        <v>83.19</v>
      </c>
    </row>
    <row r="896">
      <c r="A896" s="46" t="inlineStr">
        <is>
          <t>W19</t>
        </is>
      </c>
      <c r="B896" s="46" t="n">
        <v>12</v>
      </c>
      <c r="C896" s="47" t="n">
        <v>40</v>
      </c>
      <c r="D896" s="47" t="n">
        <v>84.2</v>
      </c>
      <c r="E896" s="46" t="str">
        <f>IF(C896&lt;=72.0,"Y","N")</f>
        <v>Y</v>
      </c>
      <c r="F896" s="46">
        <f>IF(E896="Y",D896,"")</f>
        <v>84.2</v>
      </c>
    </row>
    <row r="897">
      <c r="A897" s="46" t="inlineStr">
        <is>
          <t>W19</t>
        </is>
      </c>
      <c r="B897" s="46" t="n">
        <v>13</v>
      </c>
      <c r="C897" s="47" t="n">
        <v>40</v>
      </c>
      <c r="D897" s="47" t="n">
        <v>83.58</v>
      </c>
      <c r="E897" s="46" t="str">
        <f>IF(C897&lt;=72.0,"Y","N")</f>
        <v>Y</v>
      </c>
      <c r="F897" s="46">
        <f>IF(E897="Y",D897,"")</f>
        <v>83.58</v>
      </c>
    </row>
    <row r="898">
      <c r="A898" s="46" t="inlineStr">
        <is>
          <t>W19</t>
        </is>
      </c>
      <c r="B898" s="46" t="n">
        <v>14</v>
      </c>
      <c r="C898" s="47" t="n">
        <v>40</v>
      </c>
      <c r="D898" s="47" t="n">
        <v>84.11</v>
      </c>
      <c r="E898" s="46" t="str">
        <f>IF(C898&lt;=72.0,"Y","N")</f>
        <v>Y</v>
      </c>
      <c r="F898" s="46">
        <f>IF(E898="Y",D898,"")</f>
        <v>84.11</v>
      </c>
    </row>
    <row r="899">
      <c r="A899" s="46" t="inlineStr">
        <is>
          <t>W19</t>
        </is>
      </c>
      <c r="B899" s="46" t="n">
        <v>15</v>
      </c>
      <c r="C899" s="47" t="n">
        <v>40</v>
      </c>
      <c r="D899" s="47" t="n">
        <v>83.77</v>
      </c>
      <c r="E899" s="46" t="str">
        <f>IF(C899&lt;=72.0,"Y","N")</f>
        <v>Y</v>
      </c>
      <c r="F899" s="46">
        <f>IF(E899="Y",D899,"")</f>
        <v>83.77</v>
      </c>
    </row>
    <row r="900">
      <c r="A900" s="46" t="inlineStr">
        <is>
          <t>W19</t>
        </is>
      </c>
      <c r="B900" s="46" t="n">
        <v>16</v>
      </c>
      <c r="C900" s="47" t="n">
        <v>40</v>
      </c>
      <c r="D900" s="47" t="n">
        <v>83.69</v>
      </c>
      <c r="E900" s="46" t="str">
        <f>IF(C900&lt;=72.0,"Y","N")</f>
        <v>Y</v>
      </c>
      <c r="F900" s="46">
        <f>IF(E900="Y",D900,"")</f>
        <v>83.69</v>
      </c>
    </row>
    <row r="901">
      <c r="A901" s="46" t="inlineStr">
        <is>
          <t>W19</t>
        </is>
      </c>
      <c r="B901" s="46" t="n">
        <v>17</v>
      </c>
      <c r="C901" s="47" t="n">
        <v>40</v>
      </c>
      <c r="D901" s="47" t="n">
        <v>83.45</v>
      </c>
      <c r="E901" s="46" t="str">
        <f>IF(C901&lt;=72.0,"Y","N")</f>
        <v>Y</v>
      </c>
      <c r="F901" s="46">
        <f>IF(E901="Y",D901,"")</f>
        <v>83.45</v>
      </c>
    </row>
    <row r="902">
      <c r="A902" s="46" t="inlineStr">
        <is>
          <t>W19</t>
        </is>
      </c>
      <c r="B902" s="46" t="n">
        <v>18</v>
      </c>
      <c r="C902" s="47" t="n">
        <v>40</v>
      </c>
      <c r="D902" s="47" t="n">
        <v>83.52</v>
      </c>
      <c r="E902" s="46" t="str">
        <f>IF(C902&lt;=72.0,"Y","N")</f>
        <v>Y</v>
      </c>
      <c r="F902" s="46">
        <f>IF(E902="Y",D902,"")</f>
        <v>83.52</v>
      </c>
    </row>
    <row r="903">
      <c r="A903" s="46" t="inlineStr">
        <is>
          <t>W19</t>
        </is>
      </c>
      <c r="B903" s="46" t="n">
        <v>19</v>
      </c>
      <c r="C903" s="47" t="n">
        <v>40</v>
      </c>
      <c r="D903" s="47" t="n">
        <v>82.83</v>
      </c>
      <c r="E903" s="46" t="str">
        <f>IF(C903&lt;=72.0,"Y","N")</f>
        <v>Y</v>
      </c>
      <c r="F903" s="46">
        <f>IF(E903="Y",D903,"")</f>
        <v>82.83</v>
      </c>
    </row>
    <row r="904">
      <c r="A904" s="46" t="inlineStr">
        <is>
          <t>W19</t>
        </is>
      </c>
      <c r="B904" s="46" t="n">
        <v>20</v>
      </c>
      <c r="C904" s="47" t="n">
        <v>40</v>
      </c>
      <c r="D904" s="47" t="n">
        <v>83.59</v>
      </c>
      <c r="E904" s="46" t="str">
        <f>IF(C904&lt;=72.0,"Y","N")</f>
        <v>Y</v>
      </c>
      <c r="F904" s="46">
        <f>IF(E904="Y",D904,"")</f>
        <v>83.59</v>
      </c>
    </row>
    <row r="905">
      <c r="A905" s="46" t="inlineStr">
        <is>
          <t>W19</t>
        </is>
      </c>
      <c r="B905" s="46" t="n">
        <v>21</v>
      </c>
      <c r="C905" s="47" t="n">
        <v>40</v>
      </c>
      <c r="D905" s="47" t="n">
        <v>83.28</v>
      </c>
      <c r="E905" s="46" t="str">
        <f>IF(C905&lt;=72.0,"Y","N")</f>
        <v>Y</v>
      </c>
      <c r="F905" s="46">
        <f>IF(E905="Y",D905,"")</f>
        <v>83.28</v>
      </c>
    </row>
    <row r="906">
      <c r="A906" s="46" t="inlineStr">
        <is>
          <t>W19</t>
        </is>
      </c>
      <c r="B906" s="46" t="n">
        <v>22</v>
      </c>
      <c r="C906" s="47" t="n">
        <v>58</v>
      </c>
      <c r="D906" s="47" t="n">
        <v>86.09</v>
      </c>
      <c r="E906" s="46" t="str">
        <f>IF(C906&lt;=72.0,"Y","N")</f>
        <v>Y</v>
      </c>
      <c r="F906" s="46">
        <f>IF(E906="Y",D906,"")</f>
        <v>86.09</v>
      </c>
    </row>
    <row r="907">
      <c r="A907" s="46" t="inlineStr">
        <is>
          <t>W19</t>
        </is>
      </c>
      <c r="B907" s="46" t="n">
        <v>23</v>
      </c>
      <c r="C907" s="47" t="n">
        <v>58</v>
      </c>
      <c r="D907" s="47" t="n">
        <v>87.06</v>
      </c>
      <c r="E907" s="46" t="str">
        <f>IF(C907&lt;=72.0,"Y","N")</f>
        <v>Y</v>
      </c>
      <c r="F907" s="46">
        <f>IF(E907="Y",D907,"")</f>
        <v>87.06</v>
      </c>
    </row>
    <row r="908">
      <c r="A908" s="46" t="inlineStr">
        <is>
          <t>W19</t>
        </is>
      </c>
      <c r="B908" s="46" t="n">
        <v>24</v>
      </c>
      <c r="C908" s="47" t="n">
        <v>58</v>
      </c>
      <c r="D908" s="47" t="n">
        <v>87.44</v>
      </c>
      <c r="E908" s="46" t="str">
        <f>IF(C908&lt;=72.0,"Y","N")</f>
        <v>Y</v>
      </c>
      <c r="F908" s="46">
        <f>IF(E908="Y",D908,"")</f>
        <v>87.44</v>
      </c>
    </row>
    <row r="909">
      <c r="A909" s="46" t="inlineStr">
        <is>
          <t>W19</t>
        </is>
      </c>
      <c r="B909" s="46" t="n">
        <v>25</v>
      </c>
      <c r="C909" s="47" t="n">
        <v>58</v>
      </c>
      <c r="D909" s="47" t="n">
        <v>87.33</v>
      </c>
      <c r="E909" s="46" t="str">
        <f>IF(C909&lt;=72.0,"Y","N")</f>
        <v>Y</v>
      </c>
      <c r="F909" s="46">
        <f>IF(E909="Y",D909,"")</f>
        <v>87.33</v>
      </c>
    </row>
    <row r="910">
      <c r="A910" s="46" t="inlineStr">
        <is>
          <t>W19</t>
        </is>
      </c>
      <c r="B910" s="46" t="n">
        <v>26</v>
      </c>
      <c r="C910" s="47" t="n">
        <v>58</v>
      </c>
      <c r="D910" s="47" t="n">
        <v>86.39</v>
      </c>
      <c r="E910" s="46" t="str">
        <f>IF(C910&lt;=72.0,"Y","N")</f>
        <v>Y</v>
      </c>
      <c r="F910" s="46">
        <f>IF(E910="Y",D910,"")</f>
        <v>86.39</v>
      </c>
    </row>
    <row r="911">
      <c r="A911" s="46" t="inlineStr">
        <is>
          <t>W19</t>
        </is>
      </c>
      <c r="B911" s="46" t="n">
        <v>27</v>
      </c>
      <c r="C911" s="47" t="n">
        <v>58</v>
      </c>
      <c r="D911" s="47" t="n">
        <v>87.08</v>
      </c>
      <c r="E911" s="46" t="str">
        <f>IF(C911&lt;=72.0,"Y","N")</f>
        <v>Y</v>
      </c>
      <c r="F911" s="46">
        <f>IF(E911="Y",D911,"")</f>
        <v>87.08</v>
      </c>
    </row>
    <row r="912">
      <c r="A912" s="46" t="inlineStr">
        <is>
          <t>W19</t>
        </is>
      </c>
      <c r="B912" s="46" t="n">
        <v>28</v>
      </c>
      <c r="C912" s="47" t="n">
        <v>58</v>
      </c>
      <c r="D912" s="47" t="n">
        <v>86.1</v>
      </c>
      <c r="E912" s="46" t="str">
        <f>IF(C912&lt;=72.0,"Y","N")</f>
        <v>Y</v>
      </c>
      <c r="F912" s="46">
        <f>IF(E912="Y",D912,"")</f>
        <v>86.1</v>
      </c>
    </row>
    <row r="913">
      <c r="A913" s="46" t="inlineStr">
        <is>
          <t>W19</t>
        </is>
      </c>
      <c r="B913" s="46" t="n">
        <v>29</v>
      </c>
      <c r="C913" s="47" t="n">
        <v>58</v>
      </c>
      <c r="D913" s="47" t="n">
        <v>86.87</v>
      </c>
      <c r="E913" s="46" t="str">
        <f>IF(C913&lt;=72.0,"Y","N")</f>
        <v>Y</v>
      </c>
      <c r="F913" s="46">
        <f>IF(E913="Y",D913,"")</f>
        <v>86.87</v>
      </c>
    </row>
    <row r="914">
      <c r="A914" s="46" t="inlineStr">
        <is>
          <t>W19</t>
        </is>
      </c>
      <c r="B914" s="46" t="n">
        <v>30</v>
      </c>
      <c r="C914" s="47" t="n">
        <v>58</v>
      </c>
      <c r="D914" s="47" t="n">
        <v>87.36</v>
      </c>
      <c r="E914" s="46" t="str">
        <f>IF(C914&lt;=72.0,"Y","N")</f>
        <v>Y</v>
      </c>
      <c r="F914" s="46">
        <f>IF(E914="Y",D914,"")</f>
        <v>87.36</v>
      </c>
    </row>
    <row r="915">
      <c r="A915" s="46" t="inlineStr">
        <is>
          <t>W19</t>
        </is>
      </c>
      <c r="B915" s="46" t="n">
        <v>31</v>
      </c>
      <c r="C915" s="47" t="n">
        <v>58</v>
      </c>
      <c r="D915" s="47" t="n">
        <v>86.8</v>
      </c>
      <c r="E915" s="46" t="str">
        <f>IF(C915&lt;=72.0,"Y","N")</f>
        <v>Y</v>
      </c>
      <c r="F915" s="46">
        <f>IF(E915="Y",D915,"")</f>
        <v>86.8</v>
      </c>
    </row>
    <row r="916">
      <c r="A916" s="46" t="inlineStr">
        <is>
          <t>W19</t>
        </is>
      </c>
      <c r="B916" s="46" t="n">
        <v>32</v>
      </c>
      <c r="C916" s="47" t="n">
        <v>58</v>
      </c>
      <c r="D916" s="47" t="n">
        <v>86.16</v>
      </c>
      <c r="E916" s="46" t="str">
        <f>IF(C916&lt;=72.0,"Y","N")</f>
        <v>Y</v>
      </c>
      <c r="F916" s="46">
        <f>IF(E916="Y",D916,"")</f>
        <v>86.16</v>
      </c>
    </row>
    <row r="917">
      <c r="A917" s="46" t="inlineStr">
        <is>
          <t>W19</t>
        </is>
      </c>
      <c r="B917" s="46" t="n">
        <v>33</v>
      </c>
      <c r="C917" s="47" t="n">
        <v>58</v>
      </c>
      <c r="D917" s="47" t="n">
        <v>86.72</v>
      </c>
      <c r="E917" s="46" t="str">
        <f>IF(C917&lt;=72.0,"Y","N")</f>
        <v>Y</v>
      </c>
      <c r="F917" s="46">
        <f>IF(E917="Y",D917,"")</f>
        <v>86.72</v>
      </c>
    </row>
    <row r="918">
      <c r="A918" s="46" t="inlineStr">
        <is>
          <t>W19</t>
        </is>
      </c>
      <c r="B918" s="46" t="n">
        <v>34</v>
      </c>
      <c r="C918" s="47" t="n">
        <v>73</v>
      </c>
      <c r="D918" s="47" t="n">
        <v>89.57</v>
      </c>
      <c r="E918" s="46" t="str">
        <f>IF(C918&lt;=72.0,"Y","N")</f>
        <v>N</v>
      </c>
      <c r="F918" s="46" t="str">
        <f>IF(E918="Y",D918,"")</f>
        <v/>
      </c>
    </row>
    <row r="919">
      <c r="A919" s="46" t="inlineStr">
        <is>
          <t>W19</t>
        </is>
      </c>
      <c r="B919" s="46" t="n">
        <v>35</v>
      </c>
      <c r="C919" s="47" t="n">
        <v>73</v>
      </c>
      <c r="D919" s="47" t="n">
        <v>90.43</v>
      </c>
      <c r="E919" s="46" t="str">
        <f>IF(C919&lt;=72.0,"Y","N")</f>
        <v>N</v>
      </c>
      <c r="F919" s="46" t="str">
        <f>IF(E919="Y",D919,"")</f>
        <v/>
      </c>
    </row>
    <row r="920">
      <c r="A920" s="46" t="inlineStr">
        <is>
          <t>W19</t>
        </is>
      </c>
      <c r="B920" s="46" t="n">
        <v>36</v>
      </c>
      <c r="C920" s="47" t="n">
        <v>73</v>
      </c>
      <c r="D920" s="47" t="n">
        <v>89.67</v>
      </c>
      <c r="E920" s="46" t="str">
        <f>IF(C920&lt;=72.0,"Y","N")</f>
        <v>N</v>
      </c>
      <c r="F920" s="46" t="str">
        <f>IF(E920="Y",D920,"")</f>
        <v/>
      </c>
    </row>
    <row r="921">
      <c r="A921" s="46" t="inlineStr">
        <is>
          <t>W19</t>
        </is>
      </c>
      <c r="B921" s="46" t="n">
        <v>37</v>
      </c>
      <c r="C921" s="47" t="n">
        <v>73</v>
      </c>
      <c r="D921" s="47" t="n">
        <v>90.93</v>
      </c>
      <c r="E921" s="46" t="str">
        <f>IF(C921&lt;=72.0,"Y","N")</f>
        <v>N</v>
      </c>
      <c r="F921" s="46" t="str">
        <f>IF(E921="Y",D921,"")</f>
        <v/>
      </c>
    </row>
    <row r="922">
      <c r="A922" s="46" t="inlineStr">
        <is>
          <t>W19</t>
        </is>
      </c>
      <c r="B922" s="46" t="n">
        <v>38</v>
      </c>
      <c r="C922" s="47" t="n">
        <v>73</v>
      </c>
      <c r="D922" s="47" t="n">
        <v>90.07</v>
      </c>
      <c r="E922" s="46" t="str">
        <f>IF(C922&lt;=72.0,"Y","N")</f>
        <v>N</v>
      </c>
      <c r="F922" s="46" t="str">
        <f>IF(E922="Y",D922,"")</f>
        <v/>
      </c>
    </row>
    <row r="923">
      <c r="A923" s="46" t="inlineStr">
        <is>
          <t>W19</t>
        </is>
      </c>
      <c r="B923" s="46" t="n">
        <v>39</v>
      </c>
      <c r="C923" s="47" t="n">
        <v>73</v>
      </c>
      <c r="D923" s="47" t="n">
        <v>89.46</v>
      </c>
      <c r="E923" s="46" t="str">
        <f>IF(C923&lt;=72.0,"Y","N")</f>
        <v>N</v>
      </c>
      <c r="F923" s="46" t="str">
        <f>IF(E923="Y",D923,"")</f>
        <v/>
      </c>
    </row>
    <row r="924">
      <c r="A924" s="46" t="inlineStr">
        <is>
          <t>W19</t>
        </is>
      </c>
      <c r="B924" s="46" t="n">
        <v>40</v>
      </c>
      <c r="C924" s="47" t="n">
        <v>73</v>
      </c>
      <c r="D924" s="47" t="n">
        <v>89.7</v>
      </c>
      <c r="E924" s="46" t="str">
        <f>IF(C924&lt;=72.0,"Y","N")</f>
        <v>N</v>
      </c>
      <c r="F924" s="46" t="str">
        <f>IF(E924="Y",D924,"")</f>
        <v/>
      </c>
    </row>
    <row r="925">
      <c r="A925" s="46" t="inlineStr">
        <is>
          <t>W19</t>
        </is>
      </c>
      <c r="B925" s="46" t="n">
        <v>41</v>
      </c>
      <c r="C925" s="47" t="n">
        <v>73</v>
      </c>
      <c r="D925" s="47" t="n">
        <v>89.88</v>
      </c>
      <c r="E925" s="46" t="str">
        <f>IF(C925&lt;=72.0,"Y","N")</f>
        <v>N</v>
      </c>
      <c r="F925" s="46" t="str">
        <f>IF(E925="Y",D925,"")</f>
        <v/>
      </c>
    </row>
    <row r="926">
      <c r="A926" s="46" t="inlineStr">
        <is>
          <t>W19</t>
        </is>
      </c>
      <c r="B926" s="46" t="n">
        <v>42</v>
      </c>
      <c r="C926" s="47" t="n">
        <v>73</v>
      </c>
      <c r="D926" s="47" t="n">
        <v>90.17</v>
      </c>
      <c r="E926" s="46" t="str">
        <f>IF(C926&lt;=72.0,"Y","N")</f>
        <v>N</v>
      </c>
      <c r="F926" s="46" t="str">
        <f>IF(E926="Y",D926,"")</f>
        <v/>
      </c>
    </row>
    <row r="927">
      <c r="A927" s="46" t="inlineStr">
        <is>
          <t>W19</t>
        </is>
      </c>
      <c r="B927" s="46" t="n">
        <v>43</v>
      </c>
      <c r="C927" s="47" t="n">
        <v>73</v>
      </c>
      <c r="D927" s="47" t="n">
        <v>89.6</v>
      </c>
      <c r="E927" s="46" t="str">
        <f>IF(C927&lt;=72.0,"Y","N")</f>
        <v>N</v>
      </c>
      <c r="F927" s="46" t="str">
        <f>IF(E927="Y",D927,"")</f>
        <v/>
      </c>
    </row>
    <row r="928">
      <c r="A928" s="46" t="inlineStr">
        <is>
          <t>W19</t>
        </is>
      </c>
      <c r="B928" s="46" t="n">
        <v>44</v>
      </c>
      <c r="C928" s="47" t="n">
        <v>73</v>
      </c>
      <c r="D928" s="47" t="n">
        <v>89.73</v>
      </c>
      <c r="E928" s="46" t="str">
        <f>IF(C928&lt;=72.0,"Y","N")</f>
        <v>N</v>
      </c>
      <c r="F928" s="46" t="str">
        <f>IF(E928="Y",D928,"")</f>
        <v/>
      </c>
    </row>
    <row r="929">
      <c r="A929" s="46" t="inlineStr">
        <is>
          <t>W19</t>
        </is>
      </c>
      <c r="B929" s="46" t="n">
        <v>45</v>
      </c>
      <c r="C929" s="47" t="n">
        <v>73</v>
      </c>
      <c r="D929" s="47" t="n">
        <v>89.54</v>
      </c>
      <c r="E929" s="46" t="str">
        <f>IF(C929&lt;=72.0,"Y","N")</f>
        <v>N</v>
      </c>
      <c r="F929" s="46" t="str">
        <f>IF(E929="Y",D929,"")</f>
        <v/>
      </c>
    </row>
    <row r="930">
      <c r="A930" s="46" t="inlineStr">
        <is>
          <t>W19</t>
        </is>
      </c>
      <c r="B930" s="46" t="n">
        <v>46</v>
      </c>
      <c r="C930" s="47" t="n">
        <v>73</v>
      </c>
      <c r="D930" s="47" t="n">
        <v>90.22</v>
      </c>
      <c r="E930" s="46" t="str">
        <f>IF(C930&lt;=72.0,"Y","N")</f>
        <v>N</v>
      </c>
      <c r="F930" s="46" t="str">
        <f>IF(E930="Y",D930,"")</f>
        <v/>
      </c>
    </row>
    <row r="931">
      <c r="A931" s="46" t="inlineStr">
        <is>
          <t>W19</t>
        </is>
      </c>
      <c r="B931" s="46" t="n">
        <v>47</v>
      </c>
      <c r="C931" s="47" t="n">
        <v>73</v>
      </c>
      <c r="D931" s="47" t="n">
        <v>89.49</v>
      </c>
      <c r="E931" s="46" t="str">
        <f>IF(C931&lt;=72.0,"Y","N")</f>
        <v>N</v>
      </c>
      <c r="F931" s="46" t="str">
        <f>IF(E931="Y",D931,"")</f>
        <v/>
      </c>
    </row>
    <row r="932">
      <c r="A932" s="46" t="inlineStr">
        <is>
          <t>W19</t>
        </is>
      </c>
      <c r="B932" s="46" t="n">
        <v>48</v>
      </c>
      <c r="C932" s="47" t="n">
        <v>73</v>
      </c>
      <c r="D932" s="47" t="n">
        <v>90.37</v>
      </c>
      <c r="E932" s="46" t="str">
        <f>IF(C932&lt;=72.0,"Y","N")</f>
        <v>N</v>
      </c>
      <c r="F932" s="46" t="str">
        <f>IF(E932="Y",D932,"")</f>
        <v/>
      </c>
    </row>
    <row r="933">
      <c r="A933" s="46" t="inlineStr">
        <is>
          <t>W19</t>
        </is>
      </c>
      <c r="B933" s="46" t="n">
        <v>49</v>
      </c>
      <c r="C933" s="47" t="n">
        <v>73</v>
      </c>
      <c r="D933" s="47" t="n">
        <v>90.92</v>
      </c>
      <c r="E933" s="46" t="str">
        <f>IF(C933&lt;=72.0,"Y","N")</f>
        <v>N</v>
      </c>
      <c r="F933" s="46" t="str">
        <f>IF(E933="Y",D933,"")</f>
        <v/>
      </c>
    </row>
    <row r="934">
      <c r="A934" s="46" t="inlineStr">
        <is>
          <t>W20</t>
        </is>
      </c>
      <c r="B934" s="46" t="n">
        <v>1</v>
      </c>
      <c r="C934" s="47" t="n">
        <v>0</v>
      </c>
      <c r="D934" s="47" t="n">
        <v>81.79</v>
      </c>
      <c r="E934" s="46" t="str">
        <f>IF(C934&lt;=72.0,"Y","N")</f>
        <v>Y</v>
      </c>
      <c r="F934" s="46">
        <f>IF(E934="Y",D934,"")</f>
        <v>81.79</v>
      </c>
    </row>
    <row r="935">
      <c r="A935" s="46" t="inlineStr">
        <is>
          <t>W20</t>
        </is>
      </c>
      <c r="B935" s="46" t="n">
        <v>2</v>
      </c>
      <c r="C935" s="47" t="n">
        <v>22</v>
      </c>
      <c r="D935" s="47" t="n">
        <v>81.83</v>
      </c>
      <c r="E935" s="46" t="str">
        <f>IF(C935&lt;=72.0,"Y","N")</f>
        <v>Y</v>
      </c>
      <c r="F935" s="46">
        <f>IF(E935="Y",D935,"")</f>
        <v>81.83</v>
      </c>
    </row>
    <row r="936">
      <c r="A936" s="46" t="inlineStr">
        <is>
          <t>W20</t>
        </is>
      </c>
      <c r="B936" s="46" t="n">
        <v>3</v>
      </c>
      <c r="C936" s="47" t="n">
        <v>22</v>
      </c>
      <c r="D936" s="47" t="n">
        <v>82.53</v>
      </c>
      <c r="E936" s="46" t="str">
        <f>IF(C936&lt;=72.0,"Y","N")</f>
        <v>Y</v>
      </c>
      <c r="F936" s="46">
        <f>IF(E936="Y",D936,"")</f>
        <v>82.53</v>
      </c>
    </row>
    <row r="937">
      <c r="A937" s="46" t="inlineStr">
        <is>
          <t>W20</t>
        </is>
      </c>
      <c r="B937" s="46" t="n">
        <v>4</v>
      </c>
      <c r="C937" s="47" t="n">
        <v>22</v>
      </c>
      <c r="D937" s="47" t="n">
        <v>82.51</v>
      </c>
      <c r="E937" s="46" t="str">
        <f>IF(C937&lt;=72.0,"Y","N")</f>
        <v>Y</v>
      </c>
      <c r="F937" s="46">
        <f>IF(E937="Y",D937,"")</f>
        <v>82.51</v>
      </c>
    </row>
    <row r="938">
      <c r="A938" s="46" t="inlineStr">
        <is>
          <t>W20</t>
        </is>
      </c>
      <c r="B938" s="46" t="n">
        <v>5</v>
      </c>
      <c r="C938" s="47" t="n">
        <v>22</v>
      </c>
      <c r="D938" s="47" t="n">
        <v>81.65</v>
      </c>
      <c r="E938" s="46" t="str">
        <f>IF(C938&lt;=72.0,"Y","N")</f>
        <v>Y</v>
      </c>
      <c r="F938" s="46">
        <f>IF(E938="Y",D938,"")</f>
        <v>81.65</v>
      </c>
    </row>
    <row r="939">
      <c r="A939" s="46" t="inlineStr">
        <is>
          <t>W20</t>
        </is>
      </c>
      <c r="B939" s="46" t="n">
        <v>6</v>
      </c>
      <c r="C939" s="47" t="n">
        <v>22</v>
      </c>
      <c r="D939" s="47" t="n">
        <v>81.73</v>
      </c>
      <c r="E939" s="46" t="str">
        <f>IF(C939&lt;=72.0,"Y","N")</f>
        <v>Y</v>
      </c>
      <c r="F939" s="46">
        <f>IF(E939="Y",D939,"")</f>
        <v>81.73</v>
      </c>
    </row>
    <row r="940">
      <c r="A940" s="46" t="inlineStr">
        <is>
          <t>W20</t>
        </is>
      </c>
      <c r="B940" s="46" t="n">
        <v>7</v>
      </c>
      <c r="C940" s="47" t="n">
        <v>22</v>
      </c>
      <c r="D940" s="47" t="n">
        <v>82.5</v>
      </c>
      <c r="E940" s="46" t="str">
        <f>IF(C940&lt;=72.0,"Y","N")</f>
        <v>Y</v>
      </c>
      <c r="F940" s="46">
        <f>IF(E940="Y",D940,"")</f>
        <v>82.5</v>
      </c>
    </row>
    <row r="941">
      <c r="A941" s="46" t="inlineStr">
        <is>
          <t>W20</t>
        </is>
      </c>
      <c r="B941" s="46" t="n">
        <v>8</v>
      </c>
      <c r="C941" s="47" t="n">
        <v>22</v>
      </c>
      <c r="D941" s="47" t="n">
        <v>82.07</v>
      </c>
      <c r="E941" s="46" t="str">
        <f>IF(C941&lt;=72.0,"Y","N")</f>
        <v>Y</v>
      </c>
      <c r="F941" s="46">
        <f>IF(E941="Y",D941,"")</f>
        <v>82.07</v>
      </c>
    </row>
    <row r="942">
      <c r="A942" s="46" t="inlineStr">
        <is>
          <t>W20</t>
        </is>
      </c>
      <c r="B942" s="46" t="n">
        <v>9</v>
      </c>
      <c r="C942" s="47" t="n">
        <v>22</v>
      </c>
      <c r="D942" s="47" t="n">
        <v>81.53</v>
      </c>
      <c r="E942" s="46" t="str">
        <f>IF(C942&lt;=72.0,"Y","N")</f>
        <v>Y</v>
      </c>
      <c r="F942" s="46">
        <f>IF(E942="Y",D942,"")</f>
        <v>81.53</v>
      </c>
    </row>
    <row r="943">
      <c r="A943" s="46" t="inlineStr">
        <is>
          <t>W20</t>
        </is>
      </c>
      <c r="B943" s="46" t="n">
        <v>10</v>
      </c>
      <c r="C943" s="47" t="n">
        <v>40</v>
      </c>
      <c r="D943" s="47" t="n">
        <v>84.31</v>
      </c>
      <c r="E943" s="46" t="str">
        <f>IF(C943&lt;=72.0,"Y","N")</f>
        <v>Y</v>
      </c>
      <c r="F943" s="46">
        <f>IF(E943="Y",D943,"")</f>
        <v>84.31</v>
      </c>
    </row>
    <row r="944">
      <c r="A944" s="46" t="inlineStr">
        <is>
          <t>W20</t>
        </is>
      </c>
      <c r="B944" s="46" t="n">
        <v>11</v>
      </c>
      <c r="C944" s="47" t="n">
        <v>40</v>
      </c>
      <c r="D944" s="47" t="n">
        <v>84.62</v>
      </c>
      <c r="E944" s="46" t="str">
        <f>IF(C944&lt;=72.0,"Y","N")</f>
        <v>Y</v>
      </c>
      <c r="F944" s="46">
        <f>IF(E944="Y",D944,"")</f>
        <v>84.62</v>
      </c>
    </row>
    <row r="945">
      <c r="A945" s="46" t="inlineStr">
        <is>
          <t>W20</t>
        </is>
      </c>
      <c r="B945" s="46" t="n">
        <v>12</v>
      </c>
      <c r="C945" s="47" t="n">
        <v>40</v>
      </c>
      <c r="D945" s="47" t="n">
        <v>83.91</v>
      </c>
      <c r="E945" s="46" t="str">
        <f>IF(C945&lt;=72.0,"Y","N")</f>
        <v>Y</v>
      </c>
      <c r="F945" s="46">
        <f>IF(E945="Y",D945,"")</f>
        <v>83.91</v>
      </c>
    </row>
    <row r="946">
      <c r="A946" s="46" t="inlineStr">
        <is>
          <t>W20</t>
        </is>
      </c>
      <c r="B946" s="46" t="n">
        <v>13</v>
      </c>
      <c r="C946" s="47" t="n">
        <v>40</v>
      </c>
      <c r="D946" s="47" t="n">
        <v>83.95</v>
      </c>
      <c r="E946" s="46" t="str">
        <f>IF(C946&lt;=72.0,"Y","N")</f>
        <v>Y</v>
      </c>
      <c r="F946" s="46">
        <f>IF(E946="Y",D946,"")</f>
        <v>83.95</v>
      </c>
    </row>
    <row r="947">
      <c r="A947" s="46" t="inlineStr">
        <is>
          <t>W20</t>
        </is>
      </c>
      <c r="B947" s="46" t="n">
        <v>14</v>
      </c>
      <c r="C947" s="47" t="n">
        <v>40</v>
      </c>
      <c r="D947" s="47" t="n">
        <v>83.76</v>
      </c>
      <c r="E947" s="46" t="str">
        <f>IF(C947&lt;=72.0,"Y","N")</f>
        <v>Y</v>
      </c>
      <c r="F947" s="46">
        <f>IF(E947="Y",D947,"")</f>
        <v>83.76</v>
      </c>
    </row>
    <row r="948">
      <c r="A948" s="46" t="inlineStr">
        <is>
          <t>W20</t>
        </is>
      </c>
      <c r="B948" s="46" t="n">
        <v>15</v>
      </c>
      <c r="C948" s="47" t="n">
        <v>40</v>
      </c>
      <c r="D948" s="47" t="n">
        <v>83.41</v>
      </c>
      <c r="E948" s="46" t="str">
        <f>IF(C948&lt;=72.0,"Y","N")</f>
        <v>Y</v>
      </c>
      <c r="F948" s="46">
        <f>IF(E948="Y",D948,"")</f>
        <v>83.41</v>
      </c>
    </row>
    <row r="949">
      <c r="A949" s="46" t="inlineStr">
        <is>
          <t>W20</t>
        </is>
      </c>
      <c r="B949" s="46" t="n">
        <v>16</v>
      </c>
      <c r="C949" s="47" t="n">
        <v>40</v>
      </c>
      <c r="D949" s="47" t="n">
        <v>83.92</v>
      </c>
      <c r="E949" s="46" t="str">
        <f>IF(C949&lt;=72.0,"Y","N")</f>
        <v>Y</v>
      </c>
      <c r="F949" s="46">
        <f>IF(E949="Y",D949,"")</f>
        <v>83.92</v>
      </c>
    </row>
    <row r="950">
      <c r="A950" s="46" t="inlineStr">
        <is>
          <t>W20</t>
        </is>
      </c>
      <c r="B950" s="46" t="n">
        <v>17</v>
      </c>
      <c r="C950" s="47" t="n">
        <v>40</v>
      </c>
      <c r="D950" s="47" t="n">
        <v>83.26</v>
      </c>
      <c r="E950" s="46" t="str">
        <f>IF(C950&lt;=72.0,"Y","N")</f>
        <v>Y</v>
      </c>
      <c r="F950" s="46">
        <f>IF(E950="Y",D950,"")</f>
        <v>83.26</v>
      </c>
    </row>
    <row r="951">
      <c r="A951" s="46" t="inlineStr">
        <is>
          <t>W20</t>
        </is>
      </c>
      <c r="B951" s="46" t="n">
        <v>18</v>
      </c>
      <c r="C951" s="47" t="n">
        <v>40</v>
      </c>
      <c r="D951" s="47" t="n">
        <v>84.65</v>
      </c>
      <c r="E951" s="46" t="str">
        <f>IF(C951&lt;=72.0,"Y","N")</f>
        <v>Y</v>
      </c>
      <c r="F951" s="46">
        <f>IF(E951="Y",D951,"")</f>
        <v>84.65</v>
      </c>
    </row>
    <row r="952">
      <c r="A952" s="46" t="inlineStr">
        <is>
          <t>W20</t>
        </is>
      </c>
      <c r="B952" s="46" t="n">
        <v>19</v>
      </c>
      <c r="C952" s="47" t="n">
        <v>40</v>
      </c>
      <c r="D952" s="47" t="n">
        <v>83.77</v>
      </c>
      <c r="E952" s="46" t="str">
        <f>IF(C952&lt;=72.0,"Y","N")</f>
        <v>Y</v>
      </c>
      <c r="F952" s="46">
        <f>IF(E952="Y",D952,"")</f>
        <v>83.77</v>
      </c>
    </row>
    <row r="953">
      <c r="A953" s="46" t="inlineStr">
        <is>
          <t>W20</t>
        </is>
      </c>
      <c r="B953" s="46" t="n">
        <v>20</v>
      </c>
      <c r="C953" s="47" t="n">
        <v>40</v>
      </c>
      <c r="D953" s="47" t="n">
        <v>84.02</v>
      </c>
      <c r="E953" s="46" t="str">
        <f>IF(C953&lt;=72.0,"Y","N")</f>
        <v>Y</v>
      </c>
      <c r="F953" s="46">
        <f>IF(E953="Y",D953,"")</f>
        <v>84.02</v>
      </c>
    </row>
    <row r="954">
      <c r="A954" s="46" t="inlineStr">
        <is>
          <t>W20</t>
        </is>
      </c>
      <c r="B954" s="46" t="n">
        <v>21</v>
      </c>
      <c r="C954" s="47" t="n">
        <v>40</v>
      </c>
      <c r="D954" s="47" t="n">
        <v>83.26</v>
      </c>
      <c r="E954" s="46" t="str">
        <f>IF(C954&lt;=72.0,"Y","N")</f>
        <v>Y</v>
      </c>
      <c r="F954" s="46">
        <f>IF(E954="Y",D954,"")</f>
        <v>83.26</v>
      </c>
    </row>
    <row r="955">
      <c r="A955" s="46" t="inlineStr">
        <is>
          <t>W20</t>
        </is>
      </c>
      <c r="B955" s="46" t="n">
        <v>22</v>
      </c>
      <c r="C955" s="47" t="n">
        <v>58</v>
      </c>
      <c r="D955" s="47" t="n">
        <v>87.66</v>
      </c>
      <c r="E955" s="46" t="str">
        <f>IF(C955&lt;=72.0,"Y","N")</f>
        <v>Y</v>
      </c>
      <c r="F955" s="46">
        <f>IF(E955="Y",D955,"")</f>
        <v>87.66</v>
      </c>
    </row>
    <row r="956">
      <c r="A956" s="46" t="inlineStr">
        <is>
          <t>W20</t>
        </is>
      </c>
      <c r="B956" s="46" t="n">
        <v>23</v>
      </c>
      <c r="C956" s="47" t="n">
        <v>58</v>
      </c>
      <c r="D956" s="47" t="n">
        <v>86.54</v>
      </c>
      <c r="E956" s="46" t="str">
        <f>IF(C956&lt;=72.0,"Y","N")</f>
        <v>Y</v>
      </c>
      <c r="F956" s="46">
        <f>IF(E956="Y",D956,"")</f>
        <v>86.54</v>
      </c>
    </row>
    <row r="957">
      <c r="A957" s="46" t="inlineStr">
        <is>
          <t>W20</t>
        </is>
      </c>
      <c r="B957" s="46" t="n">
        <v>24</v>
      </c>
      <c r="C957" s="47" t="n">
        <v>58</v>
      </c>
      <c r="D957" s="47" t="n">
        <v>86.57</v>
      </c>
      <c r="E957" s="46" t="str">
        <f>IF(C957&lt;=72.0,"Y","N")</f>
        <v>Y</v>
      </c>
      <c r="F957" s="46">
        <f>IF(E957="Y",D957,"")</f>
        <v>86.57</v>
      </c>
    </row>
    <row r="958">
      <c r="A958" s="46" t="inlineStr">
        <is>
          <t>W20</t>
        </is>
      </c>
      <c r="B958" s="46" t="n">
        <v>25</v>
      </c>
      <c r="C958" s="47" t="n">
        <v>58</v>
      </c>
      <c r="D958" s="47" t="n">
        <v>87.28</v>
      </c>
      <c r="E958" s="46" t="str">
        <f>IF(C958&lt;=72.0,"Y","N")</f>
        <v>Y</v>
      </c>
      <c r="F958" s="46">
        <f>IF(E958="Y",D958,"")</f>
        <v>87.28</v>
      </c>
    </row>
    <row r="959">
      <c r="A959" s="46" t="inlineStr">
        <is>
          <t>W20</t>
        </is>
      </c>
      <c r="B959" s="46" t="n">
        <v>26</v>
      </c>
      <c r="C959" s="47" t="n">
        <v>58</v>
      </c>
      <c r="D959" s="47" t="n">
        <v>87.21</v>
      </c>
      <c r="E959" s="46" t="str">
        <f>IF(C959&lt;=72.0,"Y","N")</f>
        <v>Y</v>
      </c>
      <c r="F959" s="46">
        <f>IF(E959="Y",D959,"")</f>
        <v>87.21</v>
      </c>
    </row>
    <row r="960">
      <c r="A960" s="46" t="inlineStr">
        <is>
          <t>W20</t>
        </is>
      </c>
      <c r="B960" s="46" t="n">
        <v>27</v>
      </c>
      <c r="C960" s="47" t="n">
        <v>58</v>
      </c>
      <c r="D960" s="47" t="n">
        <v>86.68</v>
      </c>
      <c r="E960" s="46" t="str">
        <f>IF(C960&lt;=72.0,"Y","N")</f>
        <v>Y</v>
      </c>
      <c r="F960" s="46">
        <f>IF(E960="Y",D960,"")</f>
        <v>86.68</v>
      </c>
    </row>
    <row r="961">
      <c r="A961" s="46" t="inlineStr">
        <is>
          <t>W20</t>
        </is>
      </c>
      <c r="B961" s="46" t="n">
        <v>28</v>
      </c>
      <c r="C961" s="47" t="n">
        <v>58</v>
      </c>
      <c r="D961" s="47" t="n">
        <v>87.42</v>
      </c>
      <c r="E961" s="46" t="str">
        <f>IF(C961&lt;=72.0,"Y","N")</f>
        <v>Y</v>
      </c>
      <c r="F961" s="46">
        <f>IF(E961="Y",D961,"")</f>
        <v>87.42</v>
      </c>
    </row>
    <row r="962">
      <c r="A962" s="46" t="inlineStr">
        <is>
          <t>W20</t>
        </is>
      </c>
      <c r="B962" s="46" t="n">
        <v>29</v>
      </c>
      <c r="C962" s="47" t="n">
        <v>58</v>
      </c>
      <c r="D962" s="47" t="n">
        <v>86.5</v>
      </c>
      <c r="E962" s="46" t="str">
        <f>IF(C962&lt;=72.0,"Y","N")</f>
        <v>Y</v>
      </c>
      <c r="F962" s="46">
        <f>IF(E962="Y",D962,"")</f>
        <v>86.5</v>
      </c>
    </row>
    <row r="963">
      <c r="A963" s="46" t="inlineStr">
        <is>
          <t>W20</t>
        </is>
      </c>
      <c r="B963" s="46" t="n">
        <v>30</v>
      </c>
      <c r="C963" s="47" t="n">
        <v>58</v>
      </c>
      <c r="D963" s="47" t="n">
        <v>87.63</v>
      </c>
      <c r="E963" s="46" t="str">
        <f>IF(C963&lt;=72.0,"Y","N")</f>
        <v>Y</v>
      </c>
      <c r="F963" s="46">
        <f>IF(E963="Y",D963,"")</f>
        <v>87.63</v>
      </c>
    </row>
    <row r="964">
      <c r="A964" s="46" t="inlineStr">
        <is>
          <t>W20</t>
        </is>
      </c>
      <c r="B964" s="46" t="n">
        <v>31</v>
      </c>
      <c r="C964" s="47" t="n">
        <v>58</v>
      </c>
      <c r="D964" s="47" t="n">
        <v>87.76</v>
      </c>
      <c r="E964" s="46" t="str">
        <f>IF(C964&lt;=72.0,"Y","N")</f>
        <v>Y</v>
      </c>
      <c r="F964" s="46">
        <f>IF(E964="Y",D964,"")</f>
        <v>87.76</v>
      </c>
    </row>
    <row r="965">
      <c r="A965" s="46" t="inlineStr">
        <is>
          <t>W20</t>
        </is>
      </c>
      <c r="B965" s="46" t="n">
        <v>32</v>
      </c>
      <c r="C965" s="47" t="n">
        <v>58</v>
      </c>
      <c r="D965" s="47" t="n">
        <v>87.31</v>
      </c>
      <c r="E965" s="46" t="str">
        <f>IF(C965&lt;=72.0,"Y","N")</f>
        <v>Y</v>
      </c>
      <c r="F965" s="46">
        <f>IF(E965="Y",D965,"")</f>
        <v>87.31</v>
      </c>
    </row>
    <row r="966">
      <c r="A966" s="46" t="inlineStr">
        <is>
          <t>W20</t>
        </is>
      </c>
      <c r="B966" s="46" t="n">
        <v>33</v>
      </c>
      <c r="C966" s="47" t="n">
        <v>58</v>
      </c>
      <c r="D966" s="47" t="n">
        <v>87.03</v>
      </c>
      <c r="E966" s="46" t="str">
        <f>IF(C966&lt;=72.0,"Y","N")</f>
        <v>Y</v>
      </c>
      <c r="F966" s="46">
        <f>IF(E966="Y",D966,"")</f>
        <v>87.03</v>
      </c>
    </row>
    <row r="967">
      <c r="A967" s="46" t="inlineStr">
        <is>
          <t>W20</t>
        </is>
      </c>
      <c r="B967" s="46" t="n">
        <v>34</v>
      </c>
      <c r="C967" s="47" t="n">
        <v>73</v>
      </c>
      <c r="D967" s="47" t="n">
        <v>90.26</v>
      </c>
      <c r="E967" s="46" t="str">
        <f>IF(C967&lt;=72.0,"Y","N")</f>
        <v>N</v>
      </c>
      <c r="F967" s="46" t="str">
        <f>IF(E967="Y",D967,"")</f>
        <v/>
      </c>
    </row>
    <row r="968">
      <c r="A968" s="46" t="inlineStr">
        <is>
          <t>W20</t>
        </is>
      </c>
      <c r="B968" s="46" t="n">
        <v>35</v>
      </c>
      <c r="C968" s="47" t="n">
        <v>73</v>
      </c>
      <c r="D968" s="47" t="n">
        <v>90.66</v>
      </c>
      <c r="E968" s="46" t="str">
        <f>IF(C968&lt;=72.0,"Y","N")</f>
        <v>N</v>
      </c>
      <c r="F968" s="46" t="str">
        <f>IF(E968="Y",D968,"")</f>
        <v/>
      </c>
    </row>
    <row r="969">
      <c r="A969" s="46" t="inlineStr">
        <is>
          <t>W20</t>
        </is>
      </c>
      <c r="B969" s="46" t="n">
        <v>36</v>
      </c>
      <c r="C969" s="47" t="n">
        <v>73</v>
      </c>
      <c r="D969" s="47" t="n">
        <v>89.81</v>
      </c>
      <c r="E969" s="46" t="str">
        <f>IF(C969&lt;=72.0,"Y","N")</f>
        <v>N</v>
      </c>
      <c r="F969" s="46" t="str">
        <f>IF(E969="Y",D969,"")</f>
        <v/>
      </c>
    </row>
    <row r="970">
      <c r="A970" s="46" t="inlineStr">
        <is>
          <t>W20</t>
        </is>
      </c>
      <c r="B970" s="46" t="n">
        <v>37</v>
      </c>
      <c r="C970" s="47" t="n">
        <v>73</v>
      </c>
      <c r="D970" s="47" t="n">
        <v>91.2</v>
      </c>
      <c r="E970" s="46" t="str">
        <f>IF(C970&lt;=72.0,"Y","N")</f>
        <v>N</v>
      </c>
      <c r="F970" s="46" t="str">
        <f>IF(E970="Y",D970,"")</f>
        <v/>
      </c>
    </row>
    <row r="971">
      <c r="A971" s="46" t="inlineStr">
        <is>
          <t>W20</t>
        </is>
      </c>
      <c r="B971" s="46" t="n">
        <v>38</v>
      </c>
      <c r="C971" s="47" t="n">
        <v>73</v>
      </c>
      <c r="D971" s="47" t="n">
        <v>90.98</v>
      </c>
      <c r="E971" s="46" t="str">
        <f>IF(C971&lt;=72.0,"Y","N")</f>
        <v>N</v>
      </c>
      <c r="F971" s="46" t="str">
        <f>IF(E971="Y",D971,"")</f>
        <v/>
      </c>
    </row>
    <row r="972">
      <c r="A972" s="46" t="inlineStr">
        <is>
          <t>W20</t>
        </is>
      </c>
      <c r="B972" s="46" t="n">
        <v>39</v>
      </c>
      <c r="C972" s="47" t="n">
        <v>73</v>
      </c>
      <c r="D972" s="47" t="n">
        <v>89.84</v>
      </c>
      <c r="E972" s="46" t="str">
        <f>IF(C972&lt;=72.0,"Y","N")</f>
        <v>N</v>
      </c>
      <c r="F972" s="46" t="str">
        <f>IF(E972="Y",D972,"")</f>
        <v/>
      </c>
    </row>
    <row r="973">
      <c r="A973" s="46" t="inlineStr">
        <is>
          <t>W20</t>
        </is>
      </c>
      <c r="B973" s="46" t="n">
        <v>40</v>
      </c>
      <c r="C973" s="47" t="n">
        <v>73</v>
      </c>
      <c r="D973" s="47" t="n">
        <v>90.83</v>
      </c>
      <c r="E973" s="46" t="str">
        <f>IF(C973&lt;=72.0,"Y","N")</f>
        <v>N</v>
      </c>
      <c r="F973" s="46" t="str">
        <f>IF(E973="Y",D973,"")</f>
        <v/>
      </c>
    </row>
    <row r="974">
      <c r="A974" s="46" t="inlineStr">
        <is>
          <t>W20</t>
        </is>
      </c>
      <c r="B974" s="46" t="n">
        <v>41</v>
      </c>
      <c r="C974" s="47" t="n">
        <v>73</v>
      </c>
      <c r="D974" s="47" t="n">
        <v>90.75</v>
      </c>
      <c r="E974" s="46" t="str">
        <f>IF(C974&lt;=72.0,"Y","N")</f>
        <v>N</v>
      </c>
      <c r="F974" s="46" t="str">
        <f>IF(E974="Y",D974,"")</f>
        <v/>
      </c>
    </row>
    <row r="975">
      <c r="A975" s="46" t="inlineStr">
        <is>
          <t>W20</t>
        </is>
      </c>
      <c r="B975" s="46" t="n">
        <v>42</v>
      </c>
      <c r="C975" s="47" t="n">
        <v>73</v>
      </c>
      <c r="D975" s="47" t="n">
        <v>90.83</v>
      </c>
      <c r="E975" s="46" t="str">
        <f>IF(C975&lt;=72.0,"Y","N")</f>
        <v>N</v>
      </c>
      <c r="F975" s="46" t="str">
        <f>IF(E975="Y",D975,"")</f>
        <v/>
      </c>
    </row>
    <row r="976">
      <c r="A976" s="46" t="inlineStr">
        <is>
          <t>W20</t>
        </is>
      </c>
      <c r="B976" s="46" t="n">
        <v>43</v>
      </c>
      <c r="C976" s="47" t="n">
        <v>73</v>
      </c>
      <c r="D976" s="47" t="n">
        <v>89.86</v>
      </c>
      <c r="E976" s="46" t="str">
        <f>IF(C976&lt;=72.0,"Y","N")</f>
        <v>N</v>
      </c>
      <c r="F976" s="46" t="str">
        <f>IF(E976="Y",D976,"")</f>
        <v/>
      </c>
    </row>
    <row r="977">
      <c r="A977" s="46" t="inlineStr">
        <is>
          <t>W20</t>
        </is>
      </c>
      <c r="B977" s="46" t="n">
        <v>44</v>
      </c>
      <c r="C977" s="47" t="n">
        <v>73</v>
      </c>
      <c r="D977" s="47" t="n">
        <v>90.27</v>
      </c>
      <c r="E977" s="46" t="str">
        <f>IF(C977&lt;=72.0,"Y","N")</f>
        <v>N</v>
      </c>
      <c r="F977" s="46" t="str">
        <f>IF(E977="Y",D977,"")</f>
        <v/>
      </c>
    </row>
    <row r="978">
      <c r="A978" s="46" t="inlineStr">
        <is>
          <t>W20</t>
        </is>
      </c>
      <c r="B978" s="46" t="n">
        <v>45</v>
      </c>
      <c r="C978" s="47" t="n">
        <v>73</v>
      </c>
      <c r="D978" s="47" t="n">
        <v>90.92</v>
      </c>
      <c r="E978" s="46" t="str">
        <f>IF(C978&lt;=72.0,"Y","N")</f>
        <v>N</v>
      </c>
      <c r="F978" s="46" t="str">
        <f>IF(E978="Y",D978,"")</f>
        <v/>
      </c>
    </row>
    <row r="979">
      <c r="A979" s="46" t="inlineStr">
        <is>
          <t>W20</t>
        </is>
      </c>
      <c r="B979" s="46" t="n">
        <v>46</v>
      </c>
      <c r="C979" s="47" t="n">
        <v>73</v>
      </c>
      <c r="D979" s="47" t="n">
        <v>89.91</v>
      </c>
      <c r="E979" s="46" t="str">
        <f>IF(C979&lt;=72.0,"Y","N")</f>
        <v>N</v>
      </c>
      <c r="F979" s="46" t="str">
        <f>IF(E979="Y",D979,"")</f>
        <v/>
      </c>
    </row>
    <row r="980">
      <c r="A980" s="46" t="inlineStr">
        <is>
          <t>W20</t>
        </is>
      </c>
      <c r="B980" s="46" t="n">
        <v>47</v>
      </c>
      <c r="C980" s="47" t="n">
        <v>73</v>
      </c>
      <c r="D980" s="47" t="n">
        <v>90.42</v>
      </c>
      <c r="E980" s="46" t="str">
        <f>IF(C980&lt;=72.0,"Y","N")</f>
        <v>N</v>
      </c>
      <c r="F980" s="46" t="str">
        <f>IF(E980="Y",D980,"")</f>
        <v/>
      </c>
    </row>
    <row r="981">
      <c r="A981" s="46" t="inlineStr">
        <is>
          <t>W20</t>
        </is>
      </c>
      <c r="B981" s="46" t="n">
        <v>48</v>
      </c>
      <c r="C981" s="47" t="n">
        <v>73</v>
      </c>
      <c r="D981" s="47" t="n">
        <v>90.92</v>
      </c>
      <c r="E981" s="46" t="str">
        <f>IF(C981&lt;=72.0,"Y","N")</f>
        <v>N</v>
      </c>
      <c r="F981" s="46" t="str">
        <f>IF(E981="Y",D981,"")</f>
        <v/>
      </c>
    </row>
    <row r="982">
      <c r="A982" s="46" t="inlineStr">
        <is>
          <t>W20</t>
        </is>
      </c>
      <c r="B982" s="46" t="n">
        <v>49</v>
      </c>
      <c r="C982" s="47" t="n">
        <v>73</v>
      </c>
      <c r="D982" s="47" t="n">
        <v>90.1</v>
      </c>
      <c r="E982" s="46" t="str">
        <f>IF(C982&lt;=72.0,"Y","N")</f>
        <v>N</v>
      </c>
      <c r="F982" s="46" t="str">
        <f>IF(E982="Y",D982,"")</f>
        <v/>
      </c>
    </row>
    <row r="983">
      <c r="A983" s="46" t="inlineStr">
        <is>
          <t>W21</t>
        </is>
      </c>
      <c r="B983" s="46" t="n">
        <v>1</v>
      </c>
      <c r="C983" s="47" t="n">
        <v>0</v>
      </c>
      <c r="D983" s="47" t="n">
        <v>83.23</v>
      </c>
      <c r="E983" s="46" t="str">
        <f>IF(C983&lt;=72.0,"Y","N")</f>
        <v>Y</v>
      </c>
      <c r="F983" s="46">
        <f>IF(E983="Y",D983,"")</f>
        <v>83.23</v>
      </c>
    </row>
    <row r="984">
      <c r="A984" s="46" t="inlineStr">
        <is>
          <t>W21</t>
        </is>
      </c>
      <c r="B984" s="46" t="n">
        <v>2</v>
      </c>
      <c r="C984" s="47" t="n">
        <v>22</v>
      </c>
      <c r="D984" s="47" t="n">
        <v>82.93</v>
      </c>
      <c r="E984" s="46" t="str">
        <f>IF(C984&lt;=72.0,"Y","N")</f>
        <v>Y</v>
      </c>
      <c r="F984" s="46">
        <f>IF(E984="Y",D984,"")</f>
        <v>82.93</v>
      </c>
    </row>
    <row r="985">
      <c r="A985" s="46" t="inlineStr">
        <is>
          <t>W21</t>
        </is>
      </c>
      <c r="B985" s="46" t="n">
        <v>3</v>
      </c>
      <c r="C985" s="47" t="n">
        <v>22</v>
      </c>
      <c r="D985" s="47" t="n">
        <v>83.95</v>
      </c>
      <c r="E985" s="46" t="str">
        <f>IF(C985&lt;=72.0,"Y","N")</f>
        <v>Y</v>
      </c>
      <c r="F985" s="46">
        <f>IF(E985="Y",D985,"")</f>
        <v>83.95</v>
      </c>
    </row>
    <row r="986">
      <c r="A986" s="46" t="inlineStr">
        <is>
          <t>W21</t>
        </is>
      </c>
      <c r="B986" s="46" t="n">
        <v>4</v>
      </c>
      <c r="C986" s="47" t="n">
        <v>22</v>
      </c>
      <c r="D986" s="47" t="n">
        <v>83.25</v>
      </c>
      <c r="E986" s="46" t="str">
        <f>IF(C986&lt;=72.0,"Y","N")</f>
        <v>Y</v>
      </c>
      <c r="F986" s="46">
        <f>IF(E986="Y",D986,"")</f>
        <v>83.25</v>
      </c>
    </row>
    <row r="987">
      <c r="A987" s="46" t="inlineStr">
        <is>
          <t>W21</t>
        </is>
      </c>
      <c r="B987" s="46" t="n">
        <v>5</v>
      </c>
      <c r="C987" s="47" t="n">
        <v>22</v>
      </c>
      <c r="D987" s="47" t="n">
        <v>83.26</v>
      </c>
      <c r="E987" s="46" t="str">
        <f>IF(C987&lt;=72.0,"Y","N")</f>
        <v>Y</v>
      </c>
      <c r="F987" s="46">
        <f>IF(E987="Y",D987,"")</f>
        <v>83.26</v>
      </c>
    </row>
    <row r="988">
      <c r="A988" s="46" t="inlineStr">
        <is>
          <t>W21</t>
        </is>
      </c>
      <c r="B988" s="46" t="n">
        <v>6</v>
      </c>
      <c r="C988" s="47" t="n">
        <v>22</v>
      </c>
      <c r="D988" s="47" t="n">
        <v>84.03</v>
      </c>
      <c r="E988" s="46" t="str">
        <f>IF(C988&lt;=72.0,"Y","N")</f>
        <v>Y</v>
      </c>
      <c r="F988" s="46">
        <f>IF(E988="Y",D988,"")</f>
        <v>84.03</v>
      </c>
    </row>
    <row r="989">
      <c r="A989" s="46" t="inlineStr">
        <is>
          <t>W21</t>
        </is>
      </c>
      <c r="B989" s="46" t="n">
        <v>7</v>
      </c>
      <c r="C989" s="47" t="n">
        <v>22</v>
      </c>
      <c r="D989" s="47" t="n">
        <v>84.06</v>
      </c>
      <c r="E989" s="46" t="str">
        <f>IF(C989&lt;=72.0,"Y","N")</f>
        <v>Y</v>
      </c>
      <c r="F989" s="46">
        <f>IF(E989="Y",D989,"")</f>
        <v>84.06</v>
      </c>
    </row>
    <row r="990">
      <c r="A990" s="46" t="inlineStr">
        <is>
          <t>W21</t>
        </is>
      </c>
      <c r="B990" s="46" t="n">
        <v>8</v>
      </c>
      <c r="C990" s="47" t="n">
        <v>22</v>
      </c>
      <c r="D990" s="47" t="n">
        <v>83.11</v>
      </c>
      <c r="E990" s="46" t="str">
        <f>IF(C990&lt;=72.0,"Y","N")</f>
        <v>Y</v>
      </c>
      <c r="F990" s="46">
        <f>IF(E990="Y",D990,"")</f>
        <v>83.11</v>
      </c>
    </row>
    <row r="991">
      <c r="A991" s="46" t="inlineStr">
        <is>
          <t>W21</t>
        </is>
      </c>
      <c r="B991" s="46" t="n">
        <v>9</v>
      </c>
      <c r="C991" s="47" t="n">
        <v>22</v>
      </c>
      <c r="D991" s="47" t="n">
        <v>83.8</v>
      </c>
      <c r="E991" s="46" t="str">
        <f>IF(C991&lt;=72.0,"Y","N")</f>
        <v>Y</v>
      </c>
      <c r="F991" s="46">
        <f>IF(E991="Y",D991,"")</f>
        <v>83.8</v>
      </c>
    </row>
    <row r="992">
      <c r="A992" s="46" t="inlineStr">
        <is>
          <t>W21</t>
        </is>
      </c>
      <c r="B992" s="46" t="n">
        <v>10</v>
      </c>
      <c r="C992" s="47" t="n">
        <v>40</v>
      </c>
      <c r="D992" s="47" t="n">
        <v>85.95</v>
      </c>
      <c r="E992" s="46" t="str">
        <f>IF(C992&lt;=72.0,"Y","N")</f>
        <v>Y</v>
      </c>
      <c r="F992" s="46">
        <f>IF(E992="Y",D992,"")</f>
        <v>85.95</v>
      </c>
    </row>
    <row r="993">
      <c r="A993" s="46" t="inlineStr">
        <is>
          <t>W21</t>
        </is>
      </c>
      <c r="B993" s="46" t="n">
        <v>11</v>
      </c>
      <c r="C993" s="47" t="n">
        <v>40</v>
      </c>
      <c r="D993" s="47" t="n">
        <v>85.11</v>
      </c>
      <c r="E993" s="46" t="str">
        <f>IF(C993&lt;=72.0,"Y","N")</f>
        <v>Y</v>
      </c>
      <c r="F993" s="46">
        <f>IF(E993="Y",D993,"")</f>
        <v>85.11</v>
      </c>
    </row>
    <row r="994">
      <c r="A994" s="46" t="inlineStr">
        <is>
          <t>W21</t>
        </is>
      </c>
      <c r="B994" s="46" t="n">
        <v>12</v>
      </c>
      <c r="C994" s="47" t="n">
        <v>40</v>
      </c>
      <c r="D994" s="47" t="n">
        <v>85.5</v>
      </c>
      <c r="E994" s="46" t="str">
        <f>IF(C994&lt;=72.0,"Y","N")</f>
        <v>Y</v>
      </c>
      <c r="F994" s="46">
        <f>IF(E994="Y",D994,"")</f>
        <v>85.5</v>
      </c>
    </row>
    <row r="995">
      <c r="A995" s="46" t="inlineStr">
        <is>
          <t>W21</t>
        </is>
      </c>
      <c r="B995" s="46" t="n">
        <v>13</v>
      </c>
      <c r="C995" s="47" t="n">
        <v>40</v>
      </c>
      <c r="D995" s="47" t="n">
        <v>84.71</v>
      </c>
      <c r="E995" s="46" t="str">
        <f>IF(C995&lt;=72.0,"Y","N")</f>
        <v>Y</v>
      </c>
      <c r="F995" s="46">
        <f>IF(E995="Y",D995,"")</f>
        <v>84.71</v>
      </c>
    </row>
    <row r="996">
      <c r="A996" s="46" t="inlineStr">
        <is>
          <t>W21</t>
        </is>
      </c>
      <c r="B996" s="46" t="n">
        <v>14</v>
      </c>
      <c r="C996" s="47" t="n">
        <v>40</v>
      </c>
      <c r="D996" s="47" t="n">
        <v>85.18</v>
      </c>
      <c r="E996" s="46" t="str">
        <f>IF(C996&lt;=72.0,"Y","N")</f>
        <v>Y</v>
      </c>
      <c r="F996" s="46">
        <f>IF(E996="Y",D996,"")</f>
        <v>85.18</v>
      </c>
    </row>
    <row r="997">
      <c r="A997" s="46" t="inlineStr">
        <is>
          <t>W21</t>
        </is>
      </c>
      <c r="B997" s="46" t="n">
        <v>15</v>
      </c>
      <c r="C997" s="47" t="n">
        <v>40</v>
      </c>
      <c r="D997" s="47" t="n">
        <v>85.95</v>
      </c>
      <c r="E997" s="46" t="str">
        <f>IF(C997&lt;=72.0,"Y","N")</f>
        <v>Y</v>
      </c>
      <c r="F997" s="46">
        <f>IF(E997="Y",D997,"")</f>
        <v>85.95</v>
      </c>
    </row>
    <row r="998">
      <c r="A998" s="46" t="inlineStr">
        <is>
          <t>W21</t>
        </is>
      </c>
      <c r="B998" s="46" t="n">
        <v>16</v>
      </c>
      <c r="C998" s="47" t="n">
        <v>40</v>
      </c>
      <c r="D998" s="47" t="n">
        <v>85.46</v>
      </c>
      <c r="E998" s="46" t="str">
        <f>IF(C998&lt;=72.0,"Y","N")</f>
        <v>Y</v>
      </c>
      <c r="F998" s="46">
        <f>IF(E998="Y",D998,"")</f>
        <v>85.46</v>
      </c>
    </row>
    <row r="999">
      <c r="A999" s="46" t="inlineStr">
        <is>
          <t>W21</t>
        </is>
      </c>
      <c r="B999" s="46" t="n">
        <v>17</v>
      </c>
      <c r="C999" s="47" t="n">
        <v>40</v>
      </c>
      <c r="D999" s="47" t="n">
        <v>85.38</v>
      </c>
      <c r="E999" s="46" t="str">
        <f>IF(C999&lt;=72.0,"Y","N")</f>
        <v>Y</v>
      </c>
      <c r="F999" s="46">
        <f>IF(E999="Y",D999,"")</f>
        <v>85.38</v>
      </c>
    </row>
    <row r="1000">
      <c r="A1000" s="46" t="inlineStr">
        <is>
          <t>W21</t>
        </is>
      </c>
      <c r="B1000" s="46" t="n">
        <v>18</v>
      </c>
      <c r="C1000" s="47" t="n">
        <v>40</v>
      </c>
      <c r="D1000" s="47" t="n">
        <v>85.67</v>
      </c>
      <c r="E1000" s="46" t="str">
        <f>IF(C1000&lt;=72.0,"Y","N")</f>
        <v>Y</v>
      </c>
      <c r="F1000" s="46">
        <f>IF(E1000="Y",D1000,"")</f>
        <v>85.67</v>
      </c>
    </row>
    <row r="1001">
      <c r="A1001" s="46" t="inlineStr">
        <is>
          <t>W21</t>
        </is>
      </c>
      <c r="B1001" s="46" t="n">
        <v>19</v>
      </c>
      <c r="C1001" s="47" t="n">
        <v>40</v>
      </c>
      <c r="D1001" s="47" t="n">
        <v>85.15</v>
      </c>
      <c r="E1001" s="46" t="str">
        <f>IF(C1001&lt;=72.0,"Y","N")</f>
        <v>Y</v>
      </c>
      <c r="F1001" s="46">
        <f>IF(E1001="Y",D1001,"")</f>
        <v>85.15</v>
      </c>
    </row>
    <row r="1002">
      <c r="A1002" s="46" t="inlineStr">
        <is>
          <t>W21</t>
        </is>
      </c>
      <c r="B1002" s="46" t="n">
        <v>20</v>
      </c>
      <c r="C1002" s="47" t="n">
        <v>40</v>
      </c>
      <c r="D1002" s="47" t="n">
        <v>84.56</v>
      </c>
      <c r="E1002" s="46" t="str">
        <f>IF(C1002&lt;=72.0,"Y","N")</f>
        <v>Y</v>
      </c>
      <c r="F1002" s="46">
        <f>IF(E1002="Y",D1002,"")</f>
        <v>84.56</v>
      </c>
    </row>
    <row r="1003">
      <c r="A1003" s="46" t="inlineStr">
        <is>
          <t>W21</t>
        </is>
      </c>
      <c r="B1003" s="46" t="n">
        <v>21</v>
      </c>
      <c r="C1003" s="47" t="n">
        <v>40</v>
      </c>
      <c r="D1003" s="47" t="n">
        <v>85.11</v>
      </c>
      <c r="E1003" s="46" t="str">
        <f>IF(C1003&lt;=72.0,"Y","N")</f>
        <v>Y</v>
      </c>
      <c r="F1003" s="46">
        <f>IF(E1003="Y",D1003,"")</f>
        <v>85.11</v>
      </c>
    </row>
    <row r="1004">
      <c r="A1004" s="46" t="inlineStr">
        <is>
          <t>W21</t>
        </is>
      </c>
      <c r="B1004" s="46" t="n">
        <v>22</v>
      </c>
      <c r="C1004" s="47" t="n">
        <v>58</v>
      </c>
      <c r="D1004" s="47" t="n">
        <v>88.26</v>
      </c>
      <c r="E1004" s="46" t="str">
        <f>IF(C1004&lt;=72.0,"Y","N")</f>
        <v>Y</v>
      </c>
      <c r="F1004" s="46">
        <f>IF(E1004="Y",D1004,"")</f>
        <v>88.26</v>
      </c>
    </row>
    <row r="1005">
      <c r="A1005" s="46" t="inlineStr">
        <is>
          <t>W21</t>
        </is>
      </c>
      <c r="B1005" s="46" t="n">
        <v>23</v>
      </c>
      <c r="C1005" s="47" t="n">
        <v>58</v>
      </c>
      <c r="D1005" s="47" t="n">
        <v>88.95</v>
      </c>
      <c r="E1005" s="46" t="str">
        <f>IF(C1005&lt;=72.0,"Y","N")</f>
        <v>Y</v>
      </c>
      <c r="F1005" s="46">
        <f>IF(E1005="Y",D1005,"")</f>
        <v>88.95</v>
      </c>
    </row>
    <row r="1006">
      <c r="A1006" s="46" t="inlineStr">
        <is>
          <t>W21</t>
        </is>
      </c>
      <c r="B1006" s="46" t="n">
        <v>24</v>
      </c>
      <c r="C1006" s="47" t="n">
        <v>58</v>
      </c>
      <c r="D1006" s="47" t="n">
        <v>88.62</v>
      </c>
      <c r="E1006" s="46" t="str">
        <f>IF(C1006&lt;=72.0,"Y","N")</f>
        <v>Y</v>
      </c>
      <c r="F1006" s="46">
        <f>IF(E1006="Y",D1006,"")</f>
        <v>88.62</v>
      </c>
    </row>
    <row r="1007">
      <c r="A1007" s="46" t="inlineStr">
        <is>
          <t>W21</t>
        </is>
      </c>
      <c r="B1007" s="46" t="n">
        <v>25</v>
      </c>
      <c r="C1007" s="47" t="n">
        <v>58</v>
      </c>
      <c r="D1007" s="47" t="n">
        <v>87.74</v>
      </c>
      <c r="E1007" s="46" t="str">
        <f>IF(C1007&lt;=72.0,"Y","N")</f>
        <v>Y</v>
      </c>
      <c r="F1007" s="46">
        <f>IF(E1007="Y",D1007,"")</f>
        <v>87.74</v>
      </c>
    </row>
    <row r="1008">
      <c r="A1008" s="46" t="inlineStr">
        <is>
          <t>W21</t>
        </is>
      </c>
      <c r="B1008" s="46" t="n">
        <v>26</v>
      </c>
      <c r="C1008" s="47" t="n">
        <v>58</v>
      </c>
      <c r="D1008" s="47" t="n">
        <v>88.44</v>
      </c>
      <c r="E1008" s="46" t="str">
        <f>IF(C1008&lt;=72.0,"Y","N")</f>
        <v>Y</v>
      </c>
      <c r="F1008" s="46">
        <f>IF(E1008="Y",D1008,"")</f>
        <v>88.44</v>
      </c>
    </row>
    <row r="1009">
      <c r="A1009" s="46" t="inlineStr">
        <is>
          <t>W21</t>
        </is>
      </c>
      <c r="B1009" s="46" t="n">
        <v>27</v>
      </c>
      <c r="C1009" s="47" t="n">
        <v>58</v>
      </c>
      <c r="D1009" s="47" t="n">
        <v>88.61</v>
      </c>
      <c r="E1009" s="46" t="str">
        <f>IF(C1009&lt;=72.0,"Y","N")</f>
        <v>Y</v>
      </c>
      <c r="F1009" s="46">
        <f>IF(E1009="Y",D1009,"")</f>
        <v>88.61</v>
      </c>
    </row>
    <row r="1010">
      <c r="A1010" s="46" t="inlineStr">
        <is>
          <t>W21</t>
        </is>
      </c>
      <c r="B1010" s="46" t="n">
        <v>28</v>
      </c>
      <c r="C1010" s="47" t="n">
        <v>58</v>
      </c>
      <c r="D1010" s="47" t="n">
        <v>87.64</v>
      </c>
      <c r="E1010" s="46" t="str">
        <f>IF(C1010&lt;=72.0,"Y","N")</f>
        <v>Y</v>
      </c>
      <c r="F1010" s="46">
        <f>IF(E1010="Y",D1010,"")</f>
        <v>87.64</v>
      </c>
    </row>
    <row r="1011">
      <c r="A1011" s="46" t="inlineStr">
        <is>
          <t>W21</t>
        </is>
      </c>
      <c r="B1011" s="46" t="n">
        <v>29</v>
      </c>
      <c r="C1011" s="47" t="n">
        <v>58</v>
      </c>
      <c r="D1011" s="47" t="n">
        <v>89.05</v>
      </c>
      <c r="E1011" s="46" t="str">
        <f>IF(C1011&lt;=72.0,"Y","N")</f>
        <v>Y</v>
      </c>
      <c r="F1011" s="46">
        <f>IF(E1011="Y",D1011,"")</f>
        <v>89.05</v>
      </c>
    </row>
    <row r="1012">
      <c r="A1012" s="46" t="inlineStr">
        <is>
          <t>W21</t>
        </is>
      </c>
      <c r="B1012" s="46" t="n">
        <v>30</v>
      </c>
      <c r="C1012" s="47" t="n">
        <v>58</v>
      </c>
      <c r="D1012" s="47" t="n">
        <v>88.19</v>
      </c>
      <c r="E1012" s="46" t="str">
        <f>IF(C1012&lt;=72.0,"Y","N")</f>
        <v>Y</v>
      </c>
      <c r="F1012" s="46">
        <f>IF(E1012="Y",D1012,"")</f>
        <v>88.19</v>
      </c>
    </row>
    <row r="1013">
      <c r="A1013" s="46" t="inlineStr">
        <is>
          <t>W21</t>
        </is>
      </c>
      <c r="B1013" s="46" t="n">
        <v>31</v>
      </c>
      <c r="C1013" s="47" t="n">
        <v>58</v>
      </c>
      <c r="D1013" s="47" t="n">
        <v>87.83</v>
      </c>
      <c r="E1013" s="46" t="str">
        <f>IF(C1013&lt;=72.0,"Y","N")</f>
        <v>Y</v>
      </c>
      <c r="F1013" s="46">
        <f>IF(E1013="Y",D1013,"")</f>
        <v>87.83</v>
      </c>
    </row>
    <row r="1014">
      <c r="A1014" s="46" t="inlineStr">
        <is>
          <t>W21</t>
        </is>
      </c>
      <c r="B1014" s="46" t="n">
        <v>32</v>
      </c>
      <c r="C1014" s="47" t="n">
        <v>58</v>
      </c>
      <c r="D1014" s="47" t="n">
        <v>87.93</v>
      </c>
      <c r="E1014" s="46" t="str">
        <f>IF(C1014&lt;=72.0,"Y","N")</f>
        <v>Y</v>
      </c>
      <c r="F1014" s="46">
        <f>IF(E1014="Y",D1014,"")</f>
        <v>87.93</v>
      </c>
    </row>
    <row r="1015">
      <c r="A1015" s="46" t="inlineStr">
        <is>
          <t>W21</t>
        </is>
      </c>
      <c r="B1015" s="46" t="n">
        <v>33</v>
      </c>
      <c r="C1015" s="47" t="n">
        <v>58</v>
      </c>
      <c r="D1015" s="47" t="n">
        <v>88.23</v>
      </c>
      <c r="E1015" s="46" t="str">
        <f>IF(C1015&lt;=72.0,"Y","N")</f>
        <v>Y</v>
      </c>
      <c r="F1015" s="46">
        <f>IF(E1015="Y",D1015,"")</f>
        <v>88.23</v>
      </c>
    </row>
    <row r="1016">
      <c r="A1016" s="46" t="inlineStr">
        <is>
          <t>W21</t>
        </is>
      </c>
      <c r="B1016" s="46" t="n">
        <v>34</v>
      </c>
      <c r="C1016" s="47" t="n">
        <v>73</v>
      </c>
      <c r="D1016" s="47" t="n">
        <v>92.48</v>
      </c>
      <c r="E1016" s="46" t="str">
        <f>IF(C1016&lt;=72.0,"Y","N")</f>
        <v>N</v>
      </c>
      <c r="F1016" s="46" t="str">
        <f>IF(E1016="Y",D1016,"")</f>
        <v/>
      </c>
    </row>
    <row r="1017">
      <c r="A1017" s="46" t="inlineStr">
        <is>
          <t>W21</t>
        </is>
      </c>
      <c r="B1017" s="46" t="n">
        <v>35</v>
      </c>
      <c r="C1017" s="47" t="n">
        <v>73</v>
      </c>
      <c r="D1017" s="47" t="n">
        <v>92.08</v>
      </c>
      <c r="E1017" s="46" t="str">
        <f>IF(C1017&lt;=72.0,"Y","N")</f>
        <v>N</v>
      </c>
      <c r="F1017" s="46" t="str">
        <f>IF(E1017="Y",D1017,"")</f>
        <v/>
      </c>
    </row>
    <row r="1018">
      <c r="A1018" s="46" t="inlineStr">
        <is>
          <t>W21</t>
        </is>
      </c>
      <c r="B1018" s="46" t="n">
        <v>36</v>
      </c>
      <c r="C1018" s="47" t="n">
        <v>73</v>
      </c>
      <c r="D1018" s="47" t="n">
        <v>92.22</v>
      </c>
      <c r="E1018" s="46" t="str">
        <f>IF(C1018&lt;=72.0,"Y","N")</f>
        <v>N</v>
      </c>
      <c r="F1018" s="46" t="str">
        <f>IF(E1018="Y",D1018,"")</f>
        <v/>
      </c>
    </row>
    <row r="1019">
      <c r="A1019" s="46" t="inlineStr">
        <is>
          <t>W21</t>
        </is>
      </c>
      <c r="B1019" s="46" t="n">
        <v>37</v>
      </c>
      <c r="C1019" s="47" t="n">
        <v>73</v>
      </c>
      <c r="D1019" s="47" t="n">
        <v>91.81</v>
      </c>
      <c r="E1019" s="46" t="str">
        <f>IF(C1019&lt;=72.0,"Y","N")</f>
        <v>N</v>
      </c>
      <c r="F1019" s="46" t="str">
        <f>IF(E1019="Y",D1019,"")</f>
        <v/>
      </c>
    </row>
    <row r="1020">
      <c r="A1020" s="46" t="inlineStr">
        <is>
          <t>W21</t>
        </is>
      </c>
      <c r="B1020" s="46" t="n">
        <v>38</v>
      </c>
      <c r="C1020" s="47" t="n">
        <v>73</v>
      </c>
      <c r="D1020" s="47" t="n">
        <v>92.29</v>
      </c>
      <c r="E1020" s="46" t="str">
        <f>IF(C1020&lt;=72.0,"Y","N")</f>
        <v>N</v>
      </c>
      <c r="F1020" s="46" t="str">
        <f>IF(E1020="Y",D1020,"")</f>
        <v/>
      </c>
    </row>
    <row r="1021">
      <c r="A1021" s="46" t="inlineStr">
        <is>
          <t>W21</t>
        </is>
      </c>
      <c r="B1021" s="46" t="n">
        <v>39</v>
      </c>
      <c r="C1021" s="47" t="n">
        <v>73</v>
      </c>
      <c r="D1021" s="47" t="n">
        <v>91.14</v>
      </c>
      <c r="E1021" s="46" t="str">
        <f>IF(C1021&lt;=72.0,"Y","N")</f>
        <v>N</v>
      </c>
      <c r="F1021" s="46" t="str">
        <f>IF(E1021="Y",D1021,"")</f>
        <v/>
      </c>
    </row>
    <row r="1022">
      <c r="A1022" s="46" t="inlineStr">
        <is>
          <t>W21</t>
        </is>
      </c>
      <c r="B1022" s="46" t="n">
        <v>40</v>
      </c>
      <c r="C1022" s="47" t="n">
        <v>73</v>
      </c>
      <c r="D1022" s="47" t="n">
        <v>91.52</v>
      </c>
      <c r="E1022" s="46" t="str">
        <f>IF(C1022&lt;=72.0,"Y","N")</f>
        <v>N</v>
      </c>
      <c r="F1022" s="46" t="str">
        <f>IF(E1022="Y",D1022,"")</f>
        <v/>
      </c>
    </row>
    <row r="1023">
      <c r="A1023" s="46" t="inlineStr">
        <is>
          <t>W21</t>
        </is>
      </c>
      <c r="B1023" s="46" t="n">
        <v>41</v>
      </c>
      <c r="C1023" s="47" t="n">
        <v>73</v>
      </c>
      <c r="D1023" s="47" t="n">
        <v>92.34</v>
      </c>
      <c r="E1023" s="46" t="str">
        <f>IF(C1023&lt;=72.0,"Y","N")</f>
        <v>N</v>
      </c>
      <c r="F1023" s="46" t="str">
        <f>IF(E1023="Y",D1023,"")</f>
        <v/>
      </c>
    </row>
    <row r="1024">
      <c r="A1024" s="46" t="inlineStr">
        <is>
          <t>W21</t>
        </is>
      </c>
      <c r="B1024" s="46" t="n">
        <v>42</v>
      </c>
      <c r="C1024" s="47" t="n">
        <v>73</v>
      </c>
      <c r="D1024" s="47" t="n">
        <v>91.55</v>
      </c>
      <c r="E1024" s="46" t="str">
        <f>IF(C1024&lt;=72.0,"Y","N")</f>
        <v>N</v>
      </c>
      <c r="F1024" s="46" t="str">
        <f>IF(E1024="Y",D1024,"")</f>
        <v/>
      </c>
    </row>
    <row r="1025">
      <c r="A1025" s="46" t="inlineStr">
        <is>
          <t>W21</t>
        </is>
      </c>
      <c r="B1025" s="46" t="n">
        <v>43</v>
      </c>
      <c r="C1025" s="47" t="n">
        <v>73</v>
      </c>
      <c r="D1025" s="47" t="n">
        <v>92.39</v>
      </c>
      <c r="E1025" s="46" t="str">
        <f>IF(C1025&lt;=72.0,"Y","N")</f>
        <v>N</v>
      </c>
      <c r="F1025" s="46" t="str">
        <f>IF(E1025="Y",D1025,"")</f>
        <v/>
      </c>
    </row>
    <row r="1026">
      <c r="A1026" s="46" t="inlineStr">
        <is>
          <t>W21</t>
        </is>
      </c>
      <c r="B1026" s="46" t="n">
        <v>44</v>
      </c>
      <c r="C1026" s="47" t="n">
        <v>73</v>
      </c>
      <c r="D1026" s="47" t="n">
        <v>91.47</v>
      </c>
      <c r="E1026" s="46" t="str">
        <f>IF(C1026&lt;=72.0,"Y","N")</f>
        <v>N</v>
      </c>
      <c r="F1026" s="46" t="str">
        <f>IF(E1026="Y",D1026,"")</f>
        <v/>
      </c>
    </row>
    <row r="1027">
      <c r="A1027" s="46" t="inlineStr">
        <is>
          <t>W21</t>
        </is>
      </c>
      <c r="B1027" s="46" t="n">
        <v>45</v>
      </c>
      <c r="C1027" s="47" t="n">
        <v>73</v>
      </c>
      <c r="D1027" s="47" t="n">
        <v>91.58</v>
      </c>
      <c r="E1027" s="46" t="str">
        <f>IF(C1027&lt;=72.0,"Y","N")</f>
        <v>N</v>
      </c>
      <c r="F1027" s="46" t="str">
        <f>IF(E1027="Y",D1027,"")</f>
        <v/>
      </c>
    </row>
    <row r="1028">
      <c r="A1028" s="46" t="inlineStr">
        <is>
          <t>W21</t>
        </is>
      </c>
      <c r="B1028" s="46" t="n">
        <v>46</v>
      </c>
      <c r="C1028" s="47" t="n">
        <v>73</v>
      </c>
      <c r="D1028" s="47" t="n">
        <v>91.54</v>
      </c>
      <c r="E1028" s="46" t="str">
        <f>IF(C1028&lt;=72.0,"Y","N")</f>
        <v>N</v>
      </c>
      <c r="F1028" s="46" t="str">
        <f>IF(E1028="Y",D1028,"")</f>
        <v/>
      </c>
    </row>
    <row r="1029">
      <c r="A1029" s="46" t="inlineStr">
        <is>
          <t>W21</t>
        </is>
      </c>
      <c r="B1029" s="46" t="n">
        <v>47</v>
      </c>
      <c r="C1029" s="47" t="n">
        <v>73</v>
      </c>
      <c r="D1029" s="47" t="n">
        <v>91.72</v>
      </c>
      <c r="E1029" s="46" t="str">
        <f>IF(C1029&lt;=72.0,"Y","N")</f>
        <v>N</v>
      </c>
      <c r="F1029" s="46" t="str">
        <f>IF(E1029="Y",D1029,"")</f>
        <v/>
      </c>
    </row>
    <row r="1030">
      <c r="A1030" s="46" t="inlineStr">
        <is>
          <t>W21</t>
        </is>
      </c>
      <c r="B1030" s="46" t="n">
        <v>48</v>
      </c>
      <c r="C1030" s="47" t="n">
        <v>73</v>
      </c>
      <c r="D1030" s="47" t="n">
        <v>91.69</v>
      </c>
      <c r="E1030" s="46" t="str">
        <f>IF(C1030&lt;=72.0,"Y","N")</f>
        <v>N</v>
      </c>
      <c r="F1030" s="46" t="str">
        <f>IF(E1030="Y",D1030,"")</f>
        <v/>
      </c>
    </row>
    <row r="1031">
      <c r="A1031" s="46" t="inlineStr">
        <is>
          <t>W21</t>
        </is>
      </c>
      <c r="B1031" s="46" t="n">
        <v>49</v>
      </c>
      <c r="C1031" s="47" t="n">
        <v>73</v>
      </c>
      <c r="D1031" s="47" t="n">
        <v>92.56</v>
      </c>
      <c r="E1031" s="46" t="str">
        <f>IF(C1031&lt;=72.0,"Y","N")</f>
        <v>N</v>
      </c>
      <c r="F1031" s="46" t="str">
        <f>IF(E1031="Y",D1031,"")</f>
        <v/>
      </c>
    </row>
    <row r="1032">
      <c r="A1032" s="46" t="inlineStr">
        <is>
          <t>W22</t>
        </is>
      </c>
      <c r="B1032" s="46" t="n">
        <v>1</v>
      </c>
      <c r="C1032" s="47" t="n">
        <v>0</v>
      </c>
      <c r="D1032" s="47" t="n">
        <v>80.95</v>
      </c>
      <c r="E1032" s="46" t="str">
        <f>IF(C1032&lt;=72.0,"Y","N")</f>
        <v>Y</v>
      </c>
      <c r="F1032" s="46">
        <f>IF(E1032="Y",D1032,"")</f>
        <v>80.95</v>
      </c>
    </row>
    <row r="1033">
      <c r="A1033" s="46" t="inlineStr">
        <is>
          <t>W22</t>
        </is>
      </c>
      <c r="B1033" s="46" t="n">
        <v>2</v>
      </c>
      <c r="C1033" s="47" t="n">
        <v>22</v>
      </c>
      <c r="D1033" s="47" t="n">
        <v>82.34</v>
      </c>
      <c r="E1033" s="46" t="str">
        <f>IF(C1033&lt;=72.0,"Y","N")</f>
        <v>Y</v>
      </c>
      <c r="F1033" s="46">
        <f>IF(E1033="Y",D1033,"")</f>
        <v>82.34</v>
      </c>
    </row>
    <row r="1034">
      <c r="A1034" s="46" t="inlineStr">
        <is>
          <t>W22</t>
        </is>
      </c>
      <c r="B1034" s="46" t="n">
        <v>3</v>
      </c>
      <c r="C1034" s="47" t="n">
        <v>22</v>
      </c>
      <c r="D1034" s="47" t="n">
        <v>82.2</v>
      </c>
      <c r="E1034" s="46" t="str">
        <f>IF(C1034&lt;=72.0,"Y","N")</f>
        <v>Y</v>
      </c>
      <c r="F1034" s="46">
        <f>IF(E1034="Y",D1034,"")</f>
        <v>82.2</v>
      </c>
    </row>
    <row r="1035">
      <c r="A1035" s="46" t="inlineStr">
        <is>
          <t>W22</t>
        </is>
      </c>
      <c r="B1035" s="46" t="n">
        <v>4</v>
      </c>
      <c r="C1035" s="47" t="n">
        <v>22</v>
      </c>
      <c r="D1035" s="47" t="n">
        <v>81.61</v>
      </c>
      <c r="E1035" s="46" t="str">
        <f>IF(C1035&lt;=72.0,"Y","N")</f>
        <v>Y</v>
      </c>
      <c r="F1035" s="46">
        <f>IF(E1035="Y",D1035,"")</f>
        <v>81.61</v>
      </c>
    </row>
    <row r="1036">
      <c r="A1036" s="46" t="inlineStr">
        <is>
          <t>W22</t>
        </is>
      </c>
      <c r="B1036" s="46" t="n">
        <v>5</v>
      </c>
      <c r="C1036" s="47" t="n">
        <v>22</v>
      </c>
      <c r="D1036" s="47" t="n">
        <v>81.84</v>
      </c>
      <c r="E1036" s="46" t="str">
        <f>IF(C1036&lt;=72.0,"Y","N")</f>
        <v>Y</v>
      </c>
      <c r="F1036" s="46">
        <f>IF(E1036="Y",D1036,"")</f>
        <v>81.84</v>
      </c>
    </row>
    <row r="1037">
      <c r="A1037" s="46" t="inlineStr">
        <is>
          <t>W22</t>
        </is>
      </c>
      <c r="B1037" s="46" t="n">
        <v>6</v>
      </c>
      <c r="C1037" s="47" t="n">
        <v>22</v>
      </c>
      <c r="D1037" s="47" t="n">
        <v>81.55</v>
      </c>
      <c r="E1037" s="46" t="str">
        <f>IF(C1037&lt;=72.0,"Y","N")</f>
        <v>Y</v>
      </c>
      <c r="F1037" s="46">
        <f>IF(E1037="Y",D1037,"")</f>
        <v>81.55</v>
      </c>
    </row>
    <row r="1038">
      <c r="A1038" s="46" t="inlineStr">
        <is>
          <t>W22</t>
        </is>
      </c>
      <c r="B1038" s="46" t="n">
        <v>7</v>
      </c>
      <c r="C1038" s="47" t="n">
        <v>22</v>
      </c>
      <c r="D1038" s="47" t="n">
        <v>82.5</v>
      </c>
      <c r="E1038" s="46" t="str">
        <f>IF(C1038&lt;=72.0,"Y","N")</f>
        <v>Y</v>
      </c>
      <c r="F1038" s="46">
        <f>IF(E1038="Y",D1038,"")</f>
        <v>82.5</v>
      </c>
    </row>
    <row r="1039">
      <c r="A1039" s="46" t="inlineStr">
        <is>
          <t>W22</t>
        </is>
      </c>
      <c r="B1039" s="46" t="n">
        <v>8</v>
      </c>
      <c r="C1039" s="47" t="n">
        <v>22</v>
      </c>
      <c r="D1039" s="47" t="n">
        <v>82.58</v>
      </c>
      <c r="E1039" s="46" t="str">
        <f>IF(C1039&lt;=72.0,"Y","N")</f>
        <v>Y</v>
      </c>
      <c r="F1039" s="46">
        <f>IF(E1039="Y",D1039,"")</f>
        <v>82.58</v>
      </c>
    </row>
    <row r="1040">
      <c r="A1040" s="46" t="inlineStr">
        <is>
          <t>W22</t>
        </is>
      </c>
      <c r="B1040" s="46" t="n">
        <v>9</v>
      </c>
      <c r="C1040" s="47" t="n">
        <v>22</v>
      </c>
      <c r="D1040" s="47" t="n">
        <v>82.73</v>
      </c>
      <c r="E1040" s="46" t="str">
        <f>IF(C1040&lt;=72.0,"Y","N")</f>
        <v>Y</v>
      </c>
      <c r="F1040" s="46">
        <f>IF(E1040="Y",D1040,"")</f>
        <v>82.73</v>
      </c>
    </row>
    <row r="1041">
      <c r="A1041" s="46" t="inlineStr">
        <is>
          <t>W22</t>
        </is>
      </c>
      <c r="B1041" s="46" t="n">
        <v>10</v>
      </c>
      <c r="C1041" s="47" t="n">
        <v>40</v>
      </c>
      <c r="D1041" s="47" t="n">
        <v>84.66</v>
      </c>
      <c r="E1041" s="46" t="str">
        <f>IF(C1041&lt;=72.0,"Y","N")</f>
        <v>Y</v>
      </c>
      <c r="F1041" s="46">
        <f>IF(E1041="Y",D1041,"")</f>
        <v>84.66</v>
      </c>
    </row>
    <row r="1042">
      <c r="A1042" s="46" t="inlineStr">
        <is>
          <t>W22</t>
        </is>
      </c>
      <c r="B1042" s="46" t="n">
        <v>11</v>
      </c>
      <c r="C1042" s="47" t="n">
        <v>40</v>
      </c>
      <c r="D1042" s="47" t="n">
        <v>83.65</v>
      </c>
      <c r="E1042" s="46" t="str">
        <f>IF(C1042&lt;=72.0,"Y","N")</f>
        <v>Y</v>
      </c>
      <c r="F1042" s="46">
        <f>IF(E1042="Y",D1042,"")</f>
        <v>83.65</v>
      </c>
    </row>
    <row r="1043">
      <c r="A1043" s="46" t="inlineStr">
        <is>
          <t>W22</t>
        </is>
      </c>
      <c r="B1043" s="46" t="n">
        <v>12</v>
      </c>
      <c r="C1043" s="47" t="n">
        <v>40</v>
      </c>
      <c r="D1043" s="47" t="n">
        <v>83.75</v>
      </c>
      <c r="E1043" s="46" t="str">
        <f>IF(C1043&lt;=72.0,"Y","N")</f>
        <v>Y</v>
      </c>
      <c r="F1043" s="46">
        <f>IF(E1043="Y",D1043,"")</f>
        <v>83.75</v>
      </c>
    </row>
    <row r="1044">
      <c r="A1044" s="46" t="inlineStr">
        <is>
          <t>W22</t>
        </is>
      </c>
      <c r="B1044" s="46" t="n">
        <v>13</v>
      </c>
      <c r="C1044" s="47" t="n">
        <v>40</v>
      </c>
      <c r="D1044" s="47" t="n">
        <v>83.76</v>
      </c>
      <c r="E1044" s="46" t="str">
        <f>IF(C1044&lt;=72.0,"Y","N")</f>
        <v>Y</v>
      </c>
      <c r="F1044" s="46">
        <f>IF(E1044="Y",D1044,"")</f>
        <v>83.76</v>
      </c>
    </row>
    <row r="1045">
      <c r="A1045" s="46" t="inlineStr">
        <is>
          <t>W22</t>
        </is>
      </c>
      <c r="B1045" s="46" t="n">
        <v>14</v>
      </c>
      <c r="C1045" s="47" t="n">
        <v>40</v>
      </c>
      <c r="D1045" s="47" t="n">
        <v>83.78</v>
      </c>
      <c r="E1045" s="46" t="str">
        <f>IF(C1045&lt;=72.0,"Y","N")</f>
        <v>Y</v>
      </c>
      <c r="F1045" s="46">
        <f>IF(E1045="Y",D1045,"")</f>
        <v>83.78</v>
      </c>
    </row>
    <row r="1046">
      <c r="A1046" s="46" t="inlineStr">
        <is>
          <t>W22</t>
        </is>
      </c>
      <c r="B1046" s="46" t="n">
        <v>15</v>
      </c>
      <c r="C1046" s="47" t="n">
        <v>40</v>
      </c>
      <c r="D1046" s="47" t="n">
        <v>83.99</v>
      </c>
      <c r="E1046" s="46" t="str">
        <f>IF(C1046&lt;=72.0,"Y","N")</f>
        <v>Y</v>
      </c>
      <c r="F1046" s="46">
        <f>IF(E1046="Y",D1046,"")</f>
        <v>83.99</v>
      </c>
    </row>
    <row r="1047">
      <c r="A1047" s="46" t="inlineStr">
        <is>
          <t>W22</t>
        </is>
      </c>
      <c r="B1047" s="46" t="n">
        <v>16</v>
      </c>
      <c r="C1047" s="47" t="n">
        <v>40</v>
      </c>
      <c r="D1047" s="47" t="n">
        <v>83.23</v>
      </c>
      <c r="E1047" s="46" t="str">
        <f>IF(C1047&lt;=72.0,"Y","N")</f>
        <v>Y</v>
      </c>
      <c r="F1047" s="46">
        <f>IF(E1047="Y",D1047,"")</f>
        <v>83.23</v>
      </c>
    </row>
    <row r="1048">
      <c r="A1048" s="46" t="inlineStr">
        <is>
          <t>W22</t>
        </is>
      </c>
      <c r="B1048" s="46" t="n">
        <v>17</v>
      </c>
      <c r="C1048" s="47" t="n">
        <v>40</v>
      </c>
      <c r="D1048" s="47" t="n">
        <v>83.82</v>
      </c>
      <c r="E1048" s="46" t="str">
        <f>IF(C1048&lt;=72.0,"Y","N")</f>
        <v>Y</v>
      </c>
      <c r="F1048" s="46">
        <f>IF(E1048="Y",D1048,"")</f>
        <v>83.82</v>
      </c>
    </row>
    <row r="1049">
      <c r="A1049" s="46" t="inlineStr">
        <is>
          <t>W22</t>
        </is>
      </c>
      <c r="B1049" s="46" t="n">
        <v>18</v>
      </c>
      <c r="C1049" s="47" t="n">
        <v>40</v>
      </c>
      <c r="D1049" s="47" t="n">
        <v>83.99</v>
      </c>
      <c r="E1049" s="46" t="str">
        <f>IF(C1049&lt;=72.0,"Y","N")</f>
        <v>Y</v>
      </c>
      <c r="F1049" s="46">
        <f>IF(E1049="Y",D1049,"")</f>
        <v>83.99</v>
      </c>
    </row>
    <row r="1050">
      <c r="A1050" s="46" t="inlineStr">
        <is>
          <t>W22</t>
        </is>
      </c>
      <c r="B1050" s="46" t="n">
        <v>19</v>
      </c>
      <c r="C1050" s="47" t="n">
        <v>40</v>
      </c>
      <c r="D1050" s="47" t="n">
        <v>84.37</v>
      </c>
      <c r="E1050" s="46" t="str">
        <f>IF(C1050&lt;=72.0,"Y","N")</f>
        <v>Y</v>
      </c>
      <c r="F1050" s="46">
        <f>IF(E1050="Y",D1050,"")</f>
        <v>84.37</v>
      </c>
    </row>
    <row r="1051">
      <c r="A1051" s="46" t="inlineStr">
        <is>
          <t>W22</t>
        </is>
      </c>
      <c r="B1051" s="46" t="n">
        <v>20</v>
      </c>
      <c r="C1051" s="47" t="n">
        <v>40</v>
      </c>
      <c r="D1051" s="47" t="n">
        <v>84.51</v>
      </c>
      <c r="E1051" s="46" t="str">
        <f>IF(C1051&lt;=72.0,"Y","N")</f>
        <v>Y</v>
      </c>
      <c r="F1051" s="46">
        <f>IF(E1051="Y",D1051,"")</f>
        <v>84.51</v>
      </c>
    </row>
    <row r="1052">
      <c r="A1052" s="46" t="inlineStr">
        <is>
          <t>W22</t>
        </is>
      </c>
      <c r="B1052" s="46" t="n">
        <v>21</v>
      </c>
      <c r="C1052" s="47" t="n">
        <v>40</v>
      </c>
      <c r="D1052" s="47" t="n">
        <v>84.03</v>
      </c>
      <c r="E1052" s="46" t="str">
        <f>IF(C1052&lt;=72.0,"Y","N")</f>
        <v>Y</v>
      </c>
      <c r="F1052" s="46">
        <f>IF(E1052="Y",D1052,"")</f>
        <v>84.03</v>
      </c>
    </row>
    <row r="1053">
      <c r="A1053" s="46" t="inlineStr">
        <is>
          <t>W22</t>
        </is>
      </c>
      <c r="B1053" s="46" t="n">
        <v>22</v>
      </c>
      <c r="C1053" s="47" t="n">
        <v>58</v>
      </c>
      <c r="D1053" s="47" t="n">
        <v>87.7</v>
      </c>
      <c r="E1053" s="46" t="str">
        <f>IF(C1053&lt;=72.0,"Y","N")</f>
        <v>Y</v>
      </c>
      <c r="F1053" s="46">
        <f>IF(E1053="Y",D1053,"")</f>
        <v>87.7</v>
      </c>
    </row>
    <row r="1054">
      <c r="A1054" s="46" t="inlineStr">
        <is>
          <t>W22</t>
        </is>
      </c>
      <c r="B1054" s="46" t="n">
        <v>23</v>
      </c>
      <c r="C1054" s="47" t="n">
        <v>58</v>
      </c>
      <c r="D1054" s="47" t="n">
        <v>86.34</v>
      </c>
      <c r="E1054" s="46" t="str">
        <f>IF(C1054&lt;=72.0,"Y","N")</f>
        <v>Y</v>
      </c>
      <c r="F1054" s="46">
        <f>IF(E1054="Y",D1054,"")</f>
        <v>86.34</v>
      </c>
    </row>
    <row r="1055">
      <c r="A1055" s="46" t="inlineStr">
        <is>
          <t>W22</t>
        </is>
      </c>
      <c r="B1055" s="46" t="n">
        <v>24</v>
      </c>
      <c r="C1055" s="47" t="n">
        <v>58</v>
      </c>
      <c r="D1055" s="47" t="n">
        <v>86.48</v>
      </c>
      <c r="E1055" s="46" t="str">
        <f>IF(C1055&lt;=72.0,"Y","N")</f>
        <v>Y</v>
      </c>
      <c r="F1055" s="46">
        <f>IF(E1055="Y",D1055,"")</f>
        <v>86.48</v>
      </c>
    </row>
    <row r="1056">
      <c r="A1056" s="46" t="inlineStr">
        <is>
          <t>W22</t>
        </is>
      </c>
      <c r="B1056" s="46" t="n">
        <v>25</v>
      </c>
      <c r="C1056" s="47" t="n">
        <v>58</v>
      </c>
      <c r="D1056" s="47" t="n">
        <v>87.09</v>
      </c>
      <c r="E1056" s="46" t="str">
        <f>IF(C1056&lt;=72.0,"Y","N")</f>
        <v>Y</v>
      </c>
      <c r="F1056" s="46">
        <f>IF(E1056="Y",D1056,"")</f>
        <v>87.09</v>
      </c>
    </row>
    <row r="1057">
      <c r="A1057" s="46" t="inlineStr">
        <is>
          <t>W22</t>
        </is>
      </c>
      <c r="B1057" s="46" t="n">
        <v>26</v>
      </c>
      <c r="C1057" s="47" t="n">
        <v>58</v>
      </c>
      <c r="D1057" s="47" t="n">
        <v>87.45</v>
      </c>
      <c r="E1057" s="46" t="str">
        <f>IF(C1057&lt;=72.0,"Y","N")</f>
        <v>Y</v>
      </c>
      <c r="F1057" s="46">
        <f>IF(E1057="Y",D1057,"")</f>
        <v>87.45</v>
      </c>
    </row>
    <row r="1058">
      <c r="A1058" s="46" t="inlineStr">
        <is>
          <t>W22</t>
        </is>
      </c>
      <c r="B1058" s="46" t="n">
        <v>27</v>
      </c>
      <c r="C1058" s="47" t="n">
        <v>58</v>
      </c>
      <c r="D1058" s="47" t="n">
        <v>86.57</v>
      </c>
      <c r="E1058" s="46" t="str">
        <f>IF(C1058&lt;=72.0,"Y","N")</f>
        <v>Y</v>
      </c>
      <c r="F1058" s="46">
        <f>IF(E1058="Y",D1058,"")</f>
        <v>86.57</v>
      </c>
    </row>
    <row r="1059">
      <c r="A1059" s="46" t="inlineStr">
        <is>
          <t>W22</t>
        </is>
      </c>
      <c r="B1059" s="46" t="n">
        <v>28</v>
      </c>
      <c r="C1059" s="47" t="n">
        <v>58</v>
      </c>
      <c r="D1059" s="47" t="n">
        <v>87.8</v>
      </c>
      <c r="E1059" s="46" t="str">
        <f>IF(C1059&lt;=72.0,"Y","N")</f>
        <v>Y</v>
      </c>
      <c r="F1059" s="46">
        <f>IF(E1059="Y",D1059,"")</f>
        <v>87.8</v>
      </c>
    </row>
    <row r="1060">
      <c r="A1060" s="46" t="inlineStr">
        <is>
          <t>W22</t>
        </is>
      </c>
      <c r="B1060" s="46" t="n">
        <v>29</v>
      </c>
      <c r="C1060" s="47" t="n">
        <v>58</v>
      </c>
      <c r="D1060" s="47" t="n">
        <v>86.35</v>
      </c>
      <c r="E1060" s="46" t="str">
        <f>IF(C1060&lt;=72.0,"Y","N")</f>
        <v>Y</v>
      </c>
      <c r="F1060" s="46">
        <f>IF(E1060="Y",D1060,"")</f>
        <v>86.35</v>
      </c>
    </row>
    <row r="1061">
      <c r="A1061" s="46" t="inlineStr">
        <is>
          <t>W22</t>
        </is>
      </c>
      <c r="B1061" s="46" t="n">
        <v>30</v>
      </c>
      <c r="C1061" s="47" t="n">
        <v>58</v>
      </c>
      <c r="D1061" s="47" t="n">
        <v>87.48</v>
      </c>
      <c r="E1061" s="46" t="str">
        <f>IF(C1061&lt;=72.0,"Y","N")</f>
        <v>Y</v>
      </c>
      <c r="F1061" s="46">
        <f>IF(E1061="Y",D1061,"")</f>
        <v>87.48</v>
      </c>
    </row>
    <row r="1062">
      <c r="A1062" s="46" t="inlineStr">
        <is>
          <t>W22</t>
        </is>
      </c>
      <c r="B1062" s="46" t="n">
        <v>31</v>
      </c>
      <c r="C1062" s="47" t="n">
        <v>58</v>
      </c>
      <c r="D1062" s="47" t="n">
        <v>86.79</v>
      </c>
      <c r="E1062" s="46" t="str">
        <f>IF(C1062&lt;=72.0,"Y","N")</f>
        <v>Y</v>
      </c>
      <c r="F1062" s="46">
        <f>IF(E1062="Y",D1062,"")</f>
        <v>86.79</v>
      </c>
    </row>
    <row r="1063">
      <c r="A1063" s="46" t="inlineStr">
        <is>
          <t>W22</t>
        </is>
      </c>
      <c r="B1063" s="46" t="n">
        <v>32</v>
      </c>
      <c r="C1063" s="47" t="n">
        <v>58</v>
      </c>
      <c r="D1063" s="47" t="n">
        <v>86.41</v>
      </c>
      <c r="E1063" s="46" t="str">
        <f>IF(C1063&lt;=72.0,"Y","N")</f>
        <v>Y</v>
      </c>
      <c r="F1063" s="46">
        <f>IF(E1063="Y",D1063,"")</f>
        <v>86.41</v>
      </c>
    </row>
    <row r="1064">
      <c r="A1064" s="46" t="inlineStr">
        <is>
          <t>W22</t>
        </is>
      </c>
      <c r="B1064" s="46" t="n">
        <v>33</v>
      </c>
      <c r="C1064" s="47" t="n">
        <v>58</v>
      </c>
      <c r="D1064" s="47" t="n">
        <v>86.88</v>
      </c>
      <c r="E1064" s="46" t="str">
        <f>IF(C1064&lt;=72.0,"Y","N")</f>
        <v>Y</v>
      </c>
      <c r="F1064" s="46">
        <f>IF(E1064="Y",D1064,"")</f>
        <v>86.88</v>
      </c>
    </row>
    <row r="1065">
      <c r="A1065" s="46" t="inlineStr">
        <is>
          <t>W22</t>
        </is>
      </c>
      <c r="B1065" s="46" t="n">
        <v>34</v>
      </c>
      <c r="C1065" s="47" t="n">
        <v>73</v>
      </c>
      <c r="D1065" s="47" t="n">
        <v>91.22</v>
      </c>
      <c r="E1065" s="46" t="str">
        <f>IF(C1065&lt;=72.0,"Y","N")</f>
        <v>N</v>
      </c>
      <c r="F1065" s="46" t="str">
        <f>IF(E1065="Y",D1065,"")</f>
        <v/>
      </c>
    </row>
    <row r="1066">
      <c r="A1066" s="46" t="inlineStr">
        <is>
          <t>W22</t>
        </is>
      </c>
      <c r="B1066" s="46" t="n">
        <v>35</v>
      </c>
      <c r="C1066" s="47" t="n">
        <v>73</v>
      </c>
      <c r="D1066" s="47" t="n">
        <v>90.28</v>
      </c>
      <c r="E1066" s="46" t="str">
        <f>IF(C1066&lt;=72.0,"Y","N")</f>
        <v>N</v>
      </c>
      <c r="F1066" s="46" t="str">
        <f>IF(E1066="Y",D1066,"")</f>
        <v/>
      </c>
    </row>
    <row r="1067">
      <c r="A1067" s="46" t="inlineStr">
        <is>
          <t>W22</t>
        </is>
      </c>
      <c r="B1067" s="46" t="n">
        <v>36</v>
      </c>
      <c r="C1067" s="47" t="n">
        <v>73</v>
      </c>
      <c r="D1067" s="47" t="n">
        <v>91.24</v>
      </c>
      <c r="E1067" s="46" t="str">
        <f>IF(C1067&lt;=72.0,"Y","N")</f>
        <v>N</v>
      </c>
      <c r="F1067" s="46" t="str">
        <f>IF(E1067="Y",D1067,"")</f>
        <v/>
      </c>
    </row>
    <row r="1068">
      <c r="A1068" s="46" t="inlineStr">
        <is>
          <t>W22</t>
        </is>
      </c>
      <c r="B1068" s="46" t="n">
        <v>37</v>
      </c>
      <c r="C1068" s="47" t="n">
        <v>73</v>
      </c>
      <c r="D1068" s="47" t="n">
        <v>91.08</v>
      </c>
      <c r="E1068" s="46" t="str">
        <f>IF(C1068&lt;=72.0,"Y","N")</f>
        <v>N</v>
      </c>
      <c r="F1068" s="46" t="str">
        <f>IF(E1068="Y",D1068,"")</f>
        <v/>
      </c>
    </row>
    <row r="1069">
      <c r="A1069" s="46" t="inlineStr">
        <is>
          <t>W22</t>
        </is>
      </c>
      <c r="B1069" s="46" t="n">
        <v>38</v>
      </c>
      <c r="C1069" s="47" t="n">
        <v>73</v>
      </c>
      <c r="D1069" s="47" t="n">
        <v>90.2</v>
      </c>
      <c r="E1069" s="46" t="str">
        <f>IF(C1069&lt;=72.0,"Y","N")</f>
        <v>N</v>
      </c>
      <c r="F1069" s="46" t="str">
        <f>IF(E1069="Y",D1069,"")</f>
        <v/>
      </c>
    </row>
    <row r="1070">
      <c r="A1070" s="46" t="inlineStr">
        <is>
          <t>W22</t>
        </is>
      </c>
      <c r="B1070" s="46" t="n">
        <v>39</v>
      </c>
      <c r="C1070" s="47" t="n">
        <v>73</v>
      </c>
      <c r="D1070" s="47" t="n">
        <v>90.79</v>
      </c>
      <c r="E1070" s="46" t="str">
        <f>IF(C1070&lt;=72.0,"Y","N")</f>
        <v>N</v>
      </c>
      <c r="F1070" s="46" t="str">
        <f>IF(E1070="Y",D1070,"")</f>
        <v/>
      </c>
    </row>
    <row r="1071">
      <c r="A1071" s="46" t="inlineStr">
        <is>
          <t>W22</t>
        </is>
      </c>
      <c r="B1071" s="46" t="n">
        <v>40</v>
      </c>
      <c r="C1071" s="47" t="n">
        <v>73</v>
      </c>
      <c r="D1071" s="47" t="n">
        <v>90.55</v>
      </c>
      <c r="E1071" s="46" t="str">
        <f>IF(C1071&lt;=72.0,"Y","N")</f>
        <v>N</v>
      </c>
      <c r="F1071" s="46" t="str">
        <f>IF(E1071="Y",D1071,"")</f>
        <v/>
      </c>
    </row>
    <row r="1072">
      <c r="A1072" s="46" t="inlineStr">
        <is>
          <t>W22</t>
        </is>
      </c>
      <c r="B1072" s="46" t="n">
        <v>41</v>
      </c>
      <c r="C1072" s="47" t="n">
        <v>73</v>
      </c>
      <c r="D1072" s="47" t="n">
        <v>91.14</v>
      </c>
      <c r="E1072" s="46" t="str">
        <f>IF(C1072&lt;=72.0,"Y","N")</f>
        <v>N</v>
      </c>
      <c r="F1072" s="46" t="str">
        <f>IF(E1072="Y",D1072,"")</f>
        <v/>
      </c>
    </row>
    <row r="1073">
      <c r="A1073" s="46" t="inlineStr">
        <is>
          <t>W22</t>
        </is>
      </c>
      <c r="B1073" s="46" t="n">
        <v>42</v>
      </c>
      <c r="C1073" s="47" t="n">
        <v>73</v>
      </c>
      <c r="D1073" s="47" t="n">
        <v>89.91</v>
      </c>
      <c r="E1073" s="46" t="str">
        <f>IF(C1073&lt;=72.0,"Y","N")</f>
        <v>N</v>
      </c>
      <c r="F1073" s="46" t="str">
        <f>IF(E1073="Y",D1073,"")</f>
        <v/>
      </c>
    </row>
    <row r="1074">
      <c r="A1074" s="46" t="inlineStr">
        <is>
          <t>W22</t>
        </is>
      </c>
      <c r="B1074" s="46" t="n">
        <v>43</v>
      </c>
      <c r="C1074" s="47" t="n">
        <v>73</v>
      </c>
      <c r="D1074" s="47" t="n">
        <v>91.36</v>
      </c>
      <c r="E1074" s="46" t="str">
        <f>IF(C1074&lt;=72.0,"Y","N")</f>
        <v>N</v>
      </c>
      <c r="F1074" s="46" t="str">
        <f>IF(E1074="Y",D1074,"")</f>
        <v/>
      </c>
    </row>
    <row r="1075">
      <c r="A1075" s="46" t="inlineStr">
        <is>
          <t>W22</t>
        </is>
      </c>
      <c r="B1075" s="46" t="n">
        <v>44</v>
      </c>
      <c r="C1075" s="47" t="n">
        <v>73</v>
      </c>
      <c r="D1075" s="47" t="n">
        <v>90.55</v>
      </c>
      <c r="E1075" s="46" t="str">
        <f>IF(C1075&lt;=72.0,"Y","N")</f>
        <v>N</v>
      </c>
      <c r="F1075" s="46" t="str">
        <f>IF(E1075="Y",D1075,"")</f>
        <v/>
      </c>
    </row>
    <row r="1076">
      <c r="A1076" s="46" t="inlineStr">
        <is>
          <t>W22</t>
        </is>
      </c>
      <c r="B1076" s="46" t="n">
        <v>45</v>
      </c>
      <c r="C1076" s="47" t="n">
        <v>73</v>
      </c>
      <c r="D1076" s="47" t="n">
        <v>91.1</v>
      </c>
      <c r="E1076" s="46" t="str">
        <f>IF(C1076&lt;=72.0,"Y","N")</f>
        <v>N</v>
      </c>
      <c r="F1076" s="46" t="str">
        <f>IF(E1076="Y",D1076,"")</f>
        <v/>
      </c>
    </row>
    <row r="1077">
      <c r="A1077" s="46" t="inlineStr">
        <is>
          <t>W22</t>
        </is>
      </c>
      <c r="B1077" s="46" t="n">
        <v>46</v>
      </c>
      <c r="C1077" s="47" t="n">
        <v>73</v>
      </c>
      <c r="D1077" s="47" t="n">
        <v>90.43</v>
      </c>
      <c r="E1077" s="46" t="str">
        <f>IF(C1077&lt;=72.0,"Y","N")</f>
        <v>N</v>
      </c>
      <c r="F1077" s="46" t="str">
        <f>IF(E1077="Y",D1077,"")</f>
        <v/>
      </c>
    </row>
    <row r="1078">
      <c r="A1078" s="46" t="inlineStr">
        <is>
          <t>W22</t>
        </is>
      </c>
      <c r="B1078" s="46" t="n">
        <v>47</v>
      </c>
      <c r="C1078" s="47" t="n">
        <v>73</v>
      </c>
      <c r="D1078" s="47" t="n">
        <v>91.21</v>
      </c>
      <c r="E1078" s="46" t="str">
        <f>IF(C1078&lt;=72.0,"Y","N")</f>
        <v>N</v>
      </c>
      <c r="F1078" s="46" t="str">
        <f>IF(E1078="Y",D1078,"")</f>
        <v/>
      </c>
    </row>
    <row r="1079">
      <c r="A1079" s="46" t="inlineStr">
        <is>
          <t>W22</t>
        </is>
      </c>
      <c r="B1079" s="46" t="n">
        <v>48</v>
      </c>
      <c r="C1079" s="47" t="n">
        <v>73</v>
      </c>
      <c r="D1079" s="47" t="n">
        <v>90.52</v>
      </c>
      <c r="E1079" s="46" t="str">
        <f>IF(C1079&lt;=72.0,"Y","N")</f>
        <v>N</v>
      </c>
      <c r="F1079" s="46" t="str">
        <f>IF(E1079="Y",D1079,"")</f>
        <v/>
      </c>
    </row>
    <row r="1080">
      <c r="A1080" s="46" t="inlineStr">
        <is>
          <t>W22</t>
        </is>
      </c>
      <c r="B1080" s="46" t="n">
        <v>49</v>
      </c>
      <c r="C1080" s="47" t="n">
        <v>73</v>
      </c>
      <c r="D1080" s="47" t="n">
        <v>90.7</v>
      </c>
      <c r="E1080" s="46" t="str">
        <f>IF(C1080&lt;=72.0,"Y","N")</f>
        <v>N</v>
      </c>
      <c r="F1080" s="46" t="str">
        <f>IF(E1080="Y",D1080,"")</f>
        <v/>
      </c>
    </row>
    <row r="1081">
      <c r="A1081" s="46" t="inlineStr">
        <is>
          <t>W23</t>
        </is>
      </c>
      <c r="B1081" s="46" t="n">
        <v>1</v>
      </c>
      <c r="C1081" s="47" t="n">
        <v>0</v>
      </c>
      <c r="D1081" s="47" t="n">
        <v>81.84</v>
      </c>
      <c r="E1081" s="46" t="str">
        <f>IF(C1081&lt;=72.0,"Y","N")</f>
        <v>Y</v>
      </c>
      <c r="F1081" s="46">
        <f>IF(E1081="Y",D1081,"")</f>
        <v>81.84</v>
      </c>
    </row>
    <row r="1082">
      <c r="A1082" s="46" t="inlineStr">
        <is>
          <t>W23</t>
        </is>
      </c>
      <c r="B1082" s="46" t="n">
        <v>2</v>
      </c>
      <c r="C1082" s="47" t="n">
        <v>22</v>
      </c>
      <c r="D1082" s="47" t="n">
        <v>82.61</v>
      </c>
      <c r="E1082" s="46" t="str">
        <f>IF(C1082&lt;=72.0,"Y","N")</f>
        <v>Y</v>
      </c>
      <c r="F1082" s="46">
        <f>IF(E1082="Y",D1082,"")</f>
        <v>82.61</v>
      </c>
    </row>
    <row r="1083">
      <c r="A1083" s="46" t="inlineStr">
        <is>
          <t>W23</t>
        </is>
      </c>
      <c r="B1083" s="46" t="n">
        <v>3</v>
      </c>
      <c r="C1083" s="47" t="n">
        <v>22</v>
      </c>
      <c r="D1083" s="47" t="n">
        <v>83.25</v>
      </c>
      <c r="E1083" s="46" t="str">
        <f>IF(C1083&lt;=72.0,"Y","N")</f>
        <v>Y</v>
      </c>
      <c r="F1083" s="46">
        <f>IF(E1083="Y",D1083,"")</f>
        <v>83.25</v>
      </c>
    </row>
    <row r="1084">
      <c r="A1084" s="46" t="inlineStr">
        <is>
          <t>W23</t>
        </is>
      </c>
      <c r="B1084" s="46" t="n">
        <v>4</v>
      </c>
      <c r="C1084" s="47" t="n">
        <v>22</v>
      </c>
      <c r="D1084" s="47" t="n">
        <v>82.59</v>
      </c>
      <c r="E1084" s="46" t="str">
        <f>IF(C1084&lt;=72.0,"Y","N")</f>
        <v>Y</v>
      </c>
      <c r="F1084" s="46">
        <f>IF(E1084="Y",D1084,"")</f>
        <v>82.59</v>
      </c>
    </row>
    <row r="1085">
      <c r="A1085" s="46" t="inlineStr">
        <is>
          <t>W23</t>
        </is>
      </c>
      <c r="B1085" s="46" t="n">
        <v>5</v>
      </c>
      <c r="C1085" s="47" t="n">
        <v>22</v>
      </c>
      <c r="D1085" s="47" t="n">
        <v>82.66</v>
      </c>
      <c r="E1085" s="46" t="str">
        <f>IF(C1085&lt;=72.0,"Y","N")</f>
        <v>Y</v>
      </c>
      <c r="F1085" s="46">
        <f>IF(E1085="Y",D1085,"")</f>
        <v>82.66</v>
      </c>
    </row>
    <row r="1086">
      <c r="A1086" s="46" t="inlineStr">
        <is>
          <t>W23</t>
        </is>
      </c>
      <c r="B1086" s="46" t="n">
        <v>6</v>
      </c>
      <c r="C1086" s="47" t="n">
        <v>22</v>
      </c>
      <c r="D1086" s="47" t="n">
        <v>83.96</v>
      </c>
      <c r="E1086" s="46" t="str">
        <f>IF(C1086&lt;=72.0,"Y","N")</f>
        <v>Y</v>
      </c>
      <c r="F1086" s="46">
        <f>IF(E1086="Y",D1086,"")</f>
        <v>83.96</v>
      </c>
    </row>
    <row r="1087">
      <c r="A1087" s="46" t="inlineStr">
        <is>
          <t>W23</t>
        </is>
      </c>
      <c r="B1087" s="46" t="n">
        <v>7</v>
      </c>
      <c r="C1087" s="47" t="n">
        <v>22</v>
      </c>
      <c r="D1087" s="47" t="n">
        <v>82.71</v>
      </c>
      <c r="E1087" s="46" t="str">
        <f>IF(C1087&lt;=72.0,"Y","N")</f>
        <v>Y</v>
      </c>
      <c r="F1087" s="46">
        <f>IF(E1087="Y",D1087,"")</f>
        <v>82.71</v>
      </c>
    </row>
    <row r="1088">
      <c r="A1088" s="46" t="inlineStr">
        <is>
          <t>W23</t>
        </is>
      </c>
      <c r="B1088" s="46" t="n">
        <v>8</v>
      </c>
      <c r="C1088" s="47" t="n">
        <v>22</v>
      </c>
      <c r="D1088" s="47" t="n">
        <v>82.83</v>
      </c>
      <c r="E1088" s="46" t="str">
        <f>IF(C1088&lt;=72.0,"Y","N")</f>
        <v>Y</v>
      </c>
      <c r="F1088" s="46">
        <f>IF(E1088="Y",D1088,"")</f>
        <v>82.83</v>
      </c>
    </row>
    <row r="1089">
      <c r="A1089" s="46" t="inlineStr">
        <is>
          <t>W23</t>
        </is>
      </c>
      <c r="B1089" s="46" t="n">
        <v>9</v>
      </c>
      <c r="C1089" s="47" t="n">
        <v>22</v>
      </c>
      <c r="D1089" s="47" t="n">
        <v>82.96</v>
      </c>
      <c r="E1089" s="46" t="str">
        <f>IF(C1089&lt;=72.0,"Y","N")</f>
        <v>Y</v>
      </c>
      <c r="F1089" s="46">
        <f>IF(E1089="Y",D1089,"")</f>
        <v>82.96</v>
      </c>
    </row>
    <row r="1090">
      <c r="A1090" s="46" t="inlineStr">
        <is>
          <t>W23</t>
        </is>
      </c>
      <c r="B1090" s="46" t="n">
        <v>10</v>
      </c>
      <c r="C1090" s="47" t="n">
        <v>40</v>
      </c>
      <c r="D1090" s="47" t="n">
        <v>85.36</v>
      </c>
      <c r="E1090" s="46" t="str">
        <f>IF(C1090&lt;=72.0,"Y","N")</f>
        <v>Y</v>
      </c>
      <c r="F1090" s="46">
        <f>IF(E1090="Y",D1090,"")</f>
        <v>85.36</v>
      </c>
    </row>
    <row r="1091">
      <c r="A1091" s="46" t="inlineStr">
        <is>
          <t>W23</t>
        </is>
      </c>
      <c r="B1091" s="46" t="n">
        <v>11</v>
      </c>
      <c r="C1091" s="47" t="n">
        <v>40</v>
      </c>
      <c r="D1091" s="47" t="n">
        <v>84.86</v>
      </c>
      <c r="E1091" s="46" t="str">
        <f>IF(C1091&lt;=72.0,"Y","N")</f>
        <v>Y</v>
      </c>
      <c r="F1091" s="46">
        <f>IF(E1091="Y",D1091,"")</f>
        <v>84.86</v>
      </c>
    </row>
    <row r="1092">
      <c r="A1092" s="46" t="inlineStr">
        <is>
          <t>W23</t>
        </is>
      </c>
      <c r="B1092" s="46" t="n">
        <v>12</v>
      </c>
      <c r="C1092" s="47" t="n">
        <v>40</v>
      </c>
      <c r="D1092" s="47" t="n">
        <v>84.71</v>
      </c>
      <c r="E1092" s="46" t="str">
        <f>IF(C1092&lt;=72.0,"Y","N")</f>
        <v>Y</v>
      </c>
      <c r="F1092" s="46">
        <f>IF(E1092="Y",D1092,"")</f>
        <v>84.71</v>
      </c>
    </row>
    <row r="1093">
      <c r="A1093" s="46" t="inlineStr">
        <is>
          <t>W23</t>
        </is>
      </c>
      <c r="B1093" s="46" t="n">
        <v>13</v>
      </c>
      <c r="C1093" s="47" t="n">
        <v>40</v>
      </c>
      <c r="D1093" s="47" t="n">
        <v>85.66</v>
      </c>
      <c r="E1093" s="46" t="str">
        <f>IF(C1093&lt;=72.0,"Y","N")</f>
        <v>Y</v>
      </c>
      <c r="F1093" s="46">
        <f>IF(E1093="Y",D1093,"")</f>
        <v>85.66</v>
      </c>
    </row>
    <row r="1094">
      <c r="A1094" s="46" t="inlineStr">
        <is>
          <t>W23</t>
        </is>
      </c>
      <c r="B1094" s="46" t="n">
        <v>14</v>
      </c>
      <c r="C1094" s="47" t="n">
        <v>40</v>
      </c>
      <c r="D1094" s="47" t="n">
        <v>85.24</v>
      </c>
      <c r="E1094" s="46" t="str">
        <f>IF(C1094&lt;=72.0,"Y","N")</f>
        <v>Y</v>
      </c>
      <c r="F1094" s="46">
        <f>IF(E1094="Y",D1094,"")</f>
        <v>85.24</v>
      </c>
    </row>
    <row r="1095">
      <c r="A1095" s="46" t="inlineStr">
        <is>
          <t>W23</t>
        </is>
      </c>
      <c r="B1095" s="46" t="n">
        <v>15</v>
      </c>
      <c r="C1095" s="47" t="n">
        <v>40</v>
      </c>
      <c r="D1095" s="47" t="n">
        <v>84.41</v>
      </c>
      <c r="E1095" s="46" t="str">
        <f>IF(C1095&lt;=72.0,"Y","N")</f>
        <v>Y</v>
      </c>
      <c r="F1095" s="46">
        <f>IF(E1095="Y",D1095,"")</f>
        <v>84.41</v>
      </c>
    </row>
    <row r="1096">
      <c r="A1096" s="46" t="inlineStr">
        <is>
          <t>W23</t>
        </is>
      </c>
      <c r="B1096" s="46" t="n">
        <v>16</v>
      </c>
      <c r="C1096" s="47" t="n">
        <v>40</v>
      </c>
      <c r="D1096" s="47" t="n">
        <v>84.44</v>
      </c>
      <c r="E1096" s="46" t="str">
        <f>IF(C1096&lt;=72.0,"Y","N")</f>
        <v>Y</v>
      </c>
      <c r="F1096" s="46">
        <f>IF(E1096="Y",D1096,"")</f>
        <v>84.44</v>
      </c>
    </row>
    <row r="1097">
      <c r="A1097" s="46" t="inlineStr">
        <is>
          <t>W23</t>
        </is>
      </c>
      <c r="B1097" s="46" t="n">
        <v>17</v>
      </c>
      <c r="C1097" s="47" t="n">
        <v>40</v>
      </c>
      <c r="D1097" s="47" t="n">
        <v>84.51</v>
      </c>
      <c r="E1097" s="46" t="str">
        <f>IF(C1097&lt;=72.0,"Y","N")</f>
        <v>Y</v>
      </c>
      <c r="F1097" s="46">
        <f>IF(E1097="Y",D1097,"")</f>
        <v>84.51</v>
      </c>
    </row>
    <row r="1098">
      <c r="A1098" s="46" t="inlineStr">
        <is>
          <t>W23</t>
        </is>
      </c>
      <c r="B1098" s="46" t="n">
        <v>18</v>
      </c>
      <c r="C1098" s="47" t="n">
        <v>40</v>
      </c>
      <c r="D1098" s="47" t="n">
        <v>85.71</v>
      </c>
      <c r="E1098" s="46" t="str">
        <f>IF(C1098&lt;=72.0,"Y","N")</f>
        <v>Y</v>
      </c>
      <c r="F1098" s="46">
        <f>IF(E1098="Y",D1098,"")</f>
        <v>85.71</v>
      </c>
    </row>
    <row r="1099">
      <c r="A1099" s="46" t="inlineStr">
        <is>
          <t>W23</t>
        </is>
      </c>
      <c r="B1099" s="46" t="n">
        <v>19</v>
      </c>
      <c r="C1099" s="47" t="n">
        <v>40</v>
      </c>
      <c r="D1099" s="47" t="n">
        <v>85.38</v>
      </c>
      <c r="E1099" s="46" t="str">
        <f>IF(C1099&lt;=72.0,"Y","N")</f>
        <v>Y</v>
      </c>
      <c r="F1099" s="46">
        <f>IF(E1099="Y",D1099,"")</f>
        <v>85.38</v>
      </c>
    </row>
    <row r="1100">
      <c r="A1100" s="46" t="inlineStr">
        <is>
          <t>W23</t>
        </is>
      </c>
      <c r="B1100" s="46" t="n">
        <v>20</v>
      </c>
      <c r="C1100" s="47" t="n">
        <v>40</v>
      </c>
      <c r="D1100" s="47" t="n">
        <v>85.92</v>
      </c>
      <c r="E1100" s="46" t="str">
        <f>IF(C1100&lt;=72.0,"Y","N")</f>
        <v>Y</v>
      </c>
      <c r="F1100" s="46">
        <f>IF(E1100="Y",D1100,"")</f>
        <v>85.92</v>
      </c>
    </row>
    <row r="1101">
      <c r="A1101" s="46" t="inlineStr">
        <is>
          <t>W23</t>
        </is>
      </c>
      <c r="B1101" s="46" t="n">
        <v>21</v>
      </c>
      <c r="C1101" s="47" t="n">
        <v>40</v>
      </c>
      <c r="D1101" s="47" t="n">
        <v>84.55</v>
      </c>
      <c r="E1101" s="46" t="str">
        <f>IF(C1101&lt;=72.0,"Y","N")</f>
        <v>Y</v>
      </c>
      <c r="F1101" s="46">
        <f>IF(E1101="Y",D1101,"")</f>
        <v>84.55</v>
      </c>
    </row>
    <row r="1102">
      <c r="A1102" s="46" t="inlineStr">
        <is>
          <t>W23</t>
        </is>
      </c>
      <c r="B1102" s="46" t="n">
        <v>22</v>
      </c>
      <c r="C1102" s="47" t="n">
        <v>58</v>
      </c>
      <c r="D1102" s="47" t="n">
        <v>88.98</v>
      </c>
      <c r="E1102" s="46" t="str">
        <f>IF(C1102&lt;=72.0,"Y","N")</f>
        <v>Y</v>
      </c>
      <c r="F1102" s="46">
        <f>IF(E1102="Y",D1102,"")</f>
        <v>88.98</v>
      </c>
    </row>
    <row r="1103">
      <c r="A1103" s="46" t="inlineStr">
        <is>
          <t>W23</t>
        </is>
      </c>
      <c r="B1103" s="46" t="n">
        <v>23</v>
      </c>
      <c r="C1103" s="47" t="n">
        <v>58</v>
      </c>
      <c r="D1103" s="47" t="n">
        <v>89.04</v>
      </c>
      <c r="E1103" s="46" t="str">
        <f>IF(C1103&lt;=72.0,"Y","N")</f>
        <v>Y</v>
      </c>
      <c r="F1103" s="46">
        <f>IF(E1103="Y",D1103,"")</f>
        <v>89.04</v>
      </c>
    </row>
    <row r="1104">
      <c r="A1104" s="46" t="inlineStr">
        <is>
          <t>W23</t>
        </is>
      </c>
      <c r="B1104" s="46" t="n">
        <v>24</v>
      </c>
      <c r="C1104" s="47" t="n">
        <v>58</v>
      </c>
      <c r="D1104" s="47" t="n">
        <v>88.98</v>
      </c>
      <c r="E1104" s="46" t="str">
        <f>IF(C1104&lt;=72.0,"Y","N")</f>
        <v>Y</v>
      </c>
      <c r="F1104" s="46">
        <f>IF(E1104="Y",D1104,"")</f>
        <v>88.98</v>
      </c>
    </row>
    <row r="1105">
      <c r="A1105" s="46" t="inlineStr">
        <is>
          <t>W23</t>
        </is>
      </c>
      <c r="B1105" s="46" t="n">
        <v>25</v>
      </c>
      <c r="C1105" s="47" t="n">
        <v>58</v>
      </c>
      <c r="D1105" s="47" t="n">
        <v>88.63</v>
      </c>
      <c r="E1105" s="46" t="str">
        <f>IF(C1105&lt;=72.0,"Y","N")</f>
        <v>Y</v>
      </c>
      <c r="F1105" s="46">
        <f>IF(E1105="Y",D1105,"")</f>
        <v>88.63</v>
      </c>
    </row>
    <row r="1106">
      <c r="A1106" s="46" t="inlineStr">
        <is>
          <t>W23</t>
        </is>
      </c>
      <c r="B1106" s="46" t="n">
        <v>26</v>
      </c>
      <c r="C1106" s="47" t="n">
        <v>58</v>
      </c>
      <c r="D1106" s="47" t="n">
        <v>88.11</v>
      </c>
      <c r="E1106" s="46" t="str">
        <f>IF(C1106&lt;=72.0,"Y","N")</f>
        <v>Y</v>
      </c>
      <c r="F1106" s="46">
        <f>IF(E1106="Y",D1106,"")</f>
        <v>88.11</v>
      </c>
    </row>
    <row r="1107">
      <c r="A1107" s="46" t="inlineStr">
        <is>
          <t>W23</t>
        </is>
      </c>
      <c r="B1107" s="46" t="n">
        <v>27</v>
      </c>
      <c r="C1107" s="47" t="n">
        <v>58</v>
      </c>
      <c r="D1107" s="47" t="n">
        <v>87.55</v>
      </c>
      <c r="E1107" s="46" t="str">
        <f>IF(C1107&lt;=72.0,"Y","N")</f>
        <v>Y</v>
      </c>
      <c r="F1107" s="46">
        <f>IF(E1107="Y",D1107,"")</f>
        <v>87.55</v>
      </c>
    </row>
    <row r="1108">
      <c r="A1108" s="46" t="inlineStr">
        <is>
          <t>W23</t>
        </is>
      </c>
      <c r="B1108" s="46" t="n">
        <v>28</v>
      </c>
      <c r="C1108" s="47" t="n">
        <v>58</v>
      </c>
      <c r="D1108" s="47" t="n">
        <v>87.58</v>
      </c>
      <c r="E1108" s="46" t="str">
        <f>IF(C1108&lt;=72.0,"Y","N")</f>
        <v>Y</v>
      </c>
      <c r="F1108" s="46">
        <f>IF(E1108="Y",D1108,"")</f>
        <v>87.58</v>
      </c>
    </row>
    <row r="1109">
      <c r="A1109" s="46" t="inlineStr">
        <is>
          <t>W23</t>
        </is>
      </c>
      <c r="B1109" s="46" t="n">
        <v>29</v>
      </c>
      <c r="C1109" s="47" t="n">
        <v>58</v>
      </c>
      <c r="D1109" s="47" t="n">
        <v>88.49</v>
      </c>
      <c r="E1109" s="46" t="str">
        <f>IF(C1109&lt;=72.0,"Y","N")</f>
        <v>Y</v>
      </c>
      <c r="F1109" s="46">
        <f>IF(E1109="Y",D1109,"")</f>
        <v>88.49</v>
      </c>
    </row>
    <row r="1110">
      <c r="A1110" s="46" t="inlineStr">
        <is>
          <t>W23</t>
        </is>
      </c>
      <c r="B1110" s="46" t="n">
        <v>30</v>
      </c>
      <c r="C1110" s="47" t="n">
        <v>58</v>
      </c>
      <c r="D1110" s="47" t="n">
        <v>88.28</v>
      </c>
      <c r="E1110" s="46" t="str">
        <f>IF(C1110&lt;=72.0,"Y","N")</f>
        <v>Y</v>
      </c>
      <c r="F1110" s="46">
        <f>IF(E1110="Y",D1110,"")</f>
        <v>88.28</v>
      </c>
    </row>
    <row r="1111">
      <c r="A1111" s="46" t="inlineStr">
        <is>
          <t>W23</t>
        </is>
      </c>
      <c r="B1111" s="46" t="n">
        <v>31</v>
      </c>
      <c r="C1111" s="47" t="n">
        <v>58</v>
      </c>
      <c r="D1111" s="47" t="n">
        <v>88.94</v>
      </c>
      <c r="E1111" s="46" t="str">
        <f>IF(C1111&lt;=72.0,"Y","N")</f>
        <v>Y</v>
      </c>
      <c r="F1111" s="46">
        <f>IF(E1111="Y",D1111,"")</f>
        <v>88.94</v>
      </c>
    </row>
    <row r="1112">
      <c r="A1112" s="46" t="inlineStr">
        <is>
          <t>W23</t>
        </is>
      </c>
      <c r="B1112" s="46" t="n">
        <v>32</v>
      </c>
      <c r="C1112" s="47" t="n">
        <v>58</v>
      </c>
      <c r="D1112" s="47" t="n">
        <v>87.71</v>
      </c>
      <c r="E1112" s="46" t="str">
        <f>IF(C1112&lt;=72.0,"Y","N")</f>
        <v>Y</v>
      </c>
      <c r="F1112" s="46">
        <f>IF(E1112="Y",D1112,"")</f>
        <v>87.71</v>
      </c>
    </row>
    <row r="1113">
      <c r="A1113" s="46" t="inlineStr">
        <is>
          <t>W23</t>
        </is>
      </c>
      <c r="B1113" s="46" t="n">
        <v>33</v>
      </c>
      <c r="C1113" s="47" t="n">
        <v>58</v>
      </c>
      <c r="D1113" s="47" t="n">
        <v>88.63</v>
      </c>
      <c r="E1113" s="46" t="str">
        <f>IF(C1113&lt;=72.0,"Y","N")</f>
        <v>Y</v>
      </c>
      <c r="F1113" s="46">
        <f>IF(E1113="Y",D1113,"")</f>
        <v>88.63</v>
      </c>
    </row>
    <row r="1114">
      <c r="A1114" s="46" t="inlineStr">
        <is>
          <t>W23</t>
        </is>
      </c>
      <c r="B1114" s="46" t="n">
        <v>34</v>
      </c>
      <c r="C1114" s="47" t="n">
        <v>73</v>
      </c>
      <c r="D1114" s="47" t="n">
        <v>91</v>
      </c>
      <c r="E1114" s="46" t="str">
        <f>IF(C1114&lt;=72.0,"Y","N")</f>
        <v>N</v>
      </c>
      <c r="F1114" s="46" t="str">
        <f>IF(E1114="Y",D1114,"")</f>
        <v/>
      </c>
    </row>
    <row r="1115">
      <c r="A1115" s="46" t="inlineStr">
        <is>
          <t>W23</t>
        </is>
      </c>
      <c r="B1115" s="46" t="n">
        <v>35</v>
      </c>
      <c r="C1115" s="47" t="n">
        <v>73</v>
      </c>
      <c r="D1115" s="47" t="n">
        <v>92.08</v>
      </c>
      <c r="E1115" s="46" t="str">
        <f>IF(C1115&lt;=72.0,"Y","N")</f>
        <v>N</v>
      </c>
      <c r="F1115" s="46" t="str">
        <f>IF(E1115="Y",D1115,"")</f>
        <v/>
      </c>
    </row>
    <row r="1116">
      <c r="A1116" s="46" t="inlineStr">
        <is>
          <t>W23</t>
        </is>
      </c>
      <c r="B1116" s="46" t="n">
        <v>36</v>
      </c>
      <c r="C1116" s="47" t="n">
        <v>73</v>
      </c>
      <c r="D1116" s="47" t="n">
        <v>91.59</v>
      </c>
      <c r="E1116" s="46" t="str">
        <f>IF(C1116&lt;=72.0,"Y","N")</f>
        <v>N</v>
      </c>
      <c r="F1116" s="46" t="str">
        <f>IF(E1116="Y",D1116,"")</f>
        <v/>
      </c>
    </row>
    <row r="1117">
      <c r="A1117" s="46" t="inlineStr">
        <is>
          <t>W23</t>
        </is>
      </c>
      <c r="B1117" s="46" t="n">
        <v>37</v>
      </c>
      <c r="C1117" s="47" t="n">
        <v>73</v>
      </c>
      <c r="D1117" s="47" t="n">
        <v>91.59</v>
      </c>
      <c r="E1117" s="46" t="str">
        <f>IF(C1117&lt;=72.0,"Y","N")</f>
        <v>N</v>
      </c>
      <c r="F1117" s="46" t="str">
        <f>IF(E1117="Y",D1117,"")</f>
        <v/>
      </c>
    </row>
    <row r="1118">
      <c r="A1118" s="46" t="inlineStr">
        <is>
          <t>W23</t>
        </is>
      </c>
      <c r="B1118" s="46" t="n">
        <v>38</v>
      </c>
      <c r="C1118" s="47" t="n">
        <v>73</v>
      </c>
      <c r="D1118" s="47" t="n">
        <v>91.36</v>
      </c>
      <c r="E1118" s="46" t="str">
        <f>IF(C1118&lt;=72.0,"Y","N")</f>
        <v>N</v>
      </c>
      <c r="F1118" s="46" t="str">
        <f>IF(E1118="Y",D1118,"")</f>
        <v/>
      </c>
    </row>
    <row r="1119">
      <c r="A1119" s="46" t="inlineStr">
        <is>
          <t>W23</t>
        </is>
      </c>
      <c r="B1119" s="46" t="n">
        <v>39</v>
      </c>
      <c r="C1119" s="47" t="n">
        <v>73</v>
      </c>
      <c r="D1119" s="47" t="n">
        <v>92.46</v>
      </c>
      <c r="E1119" s="46" t="str">
        <f>IF(C1119&lt;=72.0,"Y","N")</f>
        <v>N</v>
      </c>
      <c r="F1119" s="46" t="str">
        <f>IF(E1119="Y",D1119,"")</f>
        <v/>
      </c>
    </row>
    <row r="1120">
      <c r="A1120" s="46" t="inlineStr">
        <is>
          <t>W23</t>
        </is>
      </c>
      <c r="B1120" s="46" t="n">
        <v>40</v>
      </c>
      <c r="C1120" s="47" t="n">
        <v>73</v>
      </c>
      <c r="D1120" s="47" t="n">
        <v>90.99</v>
      </c>
      <c r="E1120" s="46" t="str">
        <f>IF(C1120&lt;=72.0,"Y","N")</f>
        <v>N</v>
      </c>
      <c r="F1120" s="46" t="str">
        <f>IF(E1120="Y",D1120,"")</f>
        <v/>
      </c>
    </row>
    <row r="1121">
      <c r="A1121" s="46" t="inlineStr">
        <is>
          <t>W23</t>
        </is>
      </c>
      <c r="B1121" s="46" t="n">
        <v>41</v>
      </c>
      <c r="C1121" s="47" t="n">
        <v>73</v>
      </c>
      <c r="D1121" s="47" t="n">
        <v>91.82</v>
      </c>
      <c r="E1121" s="46" t="str">
        <f>IF(C1121&lt;=72.0,"Y","N")</f>
        <v>N</v>
      </c>
      <c r="F1121" s="46" t="str">
        <f>IF(E1121="Y",D1121,"")</f>
        <v/>
      </c>
    </row>
    <row r="1122">
      <c r="A1122" s="46" t="inlineStr">
        <is>
          <t>W23</t>
        </is>
      </c>
      <c r="B1122" s="46" t="n">
        <v>42</v>
      </c>
      <c r="C1122" s="47" t="n">
        <v>73</v>
      </c>
      <c r="D1122" s="47" t="n">
        <v>91.38</v>
      </c>
      <c r="E1122" s="46" t="str">
        <f>IF(C1122&lt;=72.0,"Y","N")</f>
        <v>N</v>
      </c>
      <c r="F1122" s="46" t="str">
        <f>IF(E1122="Y",D1122,"")</f>
        <v/>
      </c>
    </row>
    <row r="1123">
      <c r="A1123" s="46" t="inlineStr">
        <is>
          <t>W23</t>
        </is>
      </c>
      <c r="B1123" s="46" t="n">
        <v>43</v>
      </c>
      <c r="C1123" s="47" t="n">
        <v>73</v>
      </c>
      <c r="D1123" s="47" t="n">
        <v>91.38</v>
      </c>
      <c r="E1123" s="46" t="str">
        <f>IF(C1123&lt;=72.0,"Y","N")</f>
        <v>N</v>
      </c>
      <c r="F1123" s="46" t="str">
        <f>IF(E1123="Y",D1123,"")</f>
        <v/>
      </c>
    </row>
    <row r="1124">
      <c r="A1124" s="46" t="inlineStr">
        <is>
          <t>W23</t>
        </is>
      </c>
      <c r="B1124" s="46" t="n">
        <v>44</v>
      </c>
      <c r="C1124" s="47" t="n">
        <v>73</v>
      </c>
      <c r="D1124" s="47" t="n">
        <v>92.36</v>
      </c>
      <c r="E1124" s="46" t="str">
        <f>IF(C1124&lt;=72.0,"Y","N")</f>
        <v>N</v>
      </c>
      <c r="F1124" s="46" t="str">
        <f>IF(E1124="Y",D1124,"")</f>
        <v/>
      </c>
    </row>
    <row r="1125">
      <c r="A1125" s="46" t="inlineStr">
        <is>
          <t>W23</t>
        </is>
      </c>
      <c r="B1125" s="46" t="n">
        <v>45</v>
      </c>
      <c r="C1125" s="47" t="n">
        <v>73</v>
      </c>
      <c r="D1125" s="47" t="n">
        <v>91.7</v>
      </c>
      <c r="E1125" s="46" t="str">
        <f>IF(C1125&lt;=72.0,"Y","N")</f>
        <v>N</v>
      </c>
      <c r="F1125" s="46" t="str">
        <f>IF(E1125="Y",D1125,"")</f>
        <v/>
      </c>
    </row>
    <row r="1126">
      <c r="A1126" s="46" t="inlineStr">
        <is>
          <t>W23</t>
        </is>
      </c>
      <c r="B1126" s="46" t="n">
        <v>46</v>
      </c>
      <c r="C1126" s="47" t="n">
        <v>73</v>
      </c>
      <c r="D1126" s="47" t="n">
        <v>91.45</v>
      </c>
      <c r="E1126" s="46" t="str">
        <f>IF(C1126&lt;=72.0,"Y","N")</f>
        <v>N</v>
      </c>
      <c r="F1126" s="46" t="str">
        <f>IF(E1126="Y",D1126,"")</f>
        <v/>
      </c>
    </row>
    <row r="1127">
      <c r="A1127" s="46" t="inlineStr">
        <is>
          <t>W23</t>
        </is>
      </c>
      <c r="B1127" s="46" t="n">
        <v>47</v>
      </c>
      <c r="C1127" s="47" t="n">
        <v>73</v>
      </c>
      <c r="D1127" s="47" t="n">
        <v>92.57</v>
      </c>
      <c r="E1127" s="46" t="str">
        <f>IF(C1127&lt;=72.0,"Y","N")</f>
        <v>N</v>
      </c>
      <c r="F1127" s="46" t="str">
        <f>IF(E1127="Y",D1127,"")</f>
        <v/>
      </c>
    </row>
    <row r="1128">
      <c r="A1128" s="46" t="inlineStr">
        <is>
          <t>W23</t>
        </is>
      </c>
      <c r="B1128" s="46" t="n">
        <v>48</v>
      </c>
      <c r="C1128" s="47" t="n">
        <v>73</v>
      </c>
      <c r="D1128" s="47" t="n">
        <v>91.26</v>
      </c>
      <c r="E1128" s="46" t="str">
        <f>IF(C1128&lt;=72.0,"Y","N")</f>
        <v>N</v>
      </c>
      <c r="F1128" s="46" t="str">
        <f>IF(E1128="Y",D1128,"")</f>
        <v/>
      </c>
    </row>
    <row r="1129">
      <c r="A1129" s="46" t="inlineStr">
        <is>
          <t>W23</t>
        </is>
      </c>
      <c r="B1129" s="46" t="n">
        <v>49</v>
      </c>
      <c r="C1129" s="47" t="n">
        <v>73</v>
      </c>
      <c r="D1129" s="47" t="n">
        <v>91.48</v>
      </c>
      <c r="E1129" s="46" t="str">
        <f>IF(C1129&lt;=72.0,"Y","N")</f>
        <v>N</v>
      </c>
      <c r="F1129" s="46" t="str">
        <f>IF(E1129="Y",D1129,"")</f>
        <v/>
      </c>
    </row>
    <row r="1130">
      <c r="A1130" s="46" t="inlineStr">
        <is>
          <t>W24</t>
        </is>
      </c>
      <c r="B1130" s="46" t="n">
        <v>1</v>
      </c>
      <c r="C1130" s="47" t="n">
        <v>0</v>
      </c>
      <c r="D1130" s="47" t="n">
        <v>83.76</v>
      </c>
      <c r="E1130" s="46" t="str">
        <f>IF(C1130&lt;=72.0,"Y","N")</f>
        <v>Y</v>
      </c>
      <c r="F1130" s="46">
        <f>IF(E1130="Y",D1130,"")</f>
        <v>83.76</v>
      </c>
    </row>
    <row r="1131">
      <c r="A1131" s="46" t="inlineStr">
        <is>
          <t>W24</t>
        </is>
      </c>
      <c r="B1131" s="46" t="n">
        <v>2</v>
      </c>
      <c r="C1131" s="47" t="n">
        <v>22</v>
      </c>
      <c r="D1131" s="47" t="n">
        <v>83.67</v>
      </c>
      <c r="E1131" s="46" t="str">
        <f>IF(C1131&lt;=72.0,"Y","N")</f>
        <v>Y</v>
      </c>
      <c r="F1131" s="46">
        <f>IF(E1131="Y",D1131,"")</f>
        <v>83.67</v>
      </c>
    </row>
    <row r="1132">
      <c r="A1132" s="46" t="inlineStr">
        <is>
          <t>W24</t>
        </is>
      </c>
      <c r="B1132" s="46" t="n">
        <v>3</v>
      </c>
      <c r="C1132" s="47" t="n">
        <v>22</v>
      </c>
      <c r="D1132" s="47" t="n">
        <v>84.09</v>
      </c>
      <c r="E1132" s="46" t="str">
        <f>IF(C1132&lt;=72.0,"Y","N")</f>
        <v>Y</v>
      </c>
      <c r="F1132" s="46">
        <f>IF(E1132="Y",D1132,"")</f>
        <v>84.09</v>
      </c>
    </row>
    <row r="1133">
      <c r="A1133" s="46" t="inlineStr">
        <is>
          <t>W24</t>
        </is>
      </c>
      <c r="B1133" s="46" t="n">
        <v>4</v>
      </c>
      <c r="C1133" s="47" t="n">
        <v>22</v>
      </c>
      <c r="D1133" s="47" t="n">
        <v>84.79</v>
      </c>
      <c r="E1133" s="46" t="str">
        <f>IF(C1133&lt;=72.0,"Y","N")</f>
        <v>Y</v>
      </c>
      <c r="F1133" s="46">
        <f>IF(E1133="Y",D1133,"")</f>
        <v>84.79</v>
      </c>
    </row>
    <row r="1134">
      <c r="A1134" s="46" t="inlineStr">
        <is>
          <t>W24</t>
        </is>
      </c>
      <c r="B1134" s="46" t="n">
        <v>5</v>
      </c>
      <c r="C1134" s="47" t="n">
        <v>22</v>
      </c>
      <c r="D1134" s="47" t="n">
        <v>84.83</v>
      </c>
      <c r="E1134" s="46" t="str">
        <f>IF(C1134&lt;=72.0,"Y","N")</f>
        <v>Y</v>
      </c>
      <c r="F1134" s="46">
        <f>IF(E1134="Y",D1134,"")</f>
        <v>84.83</v>
      </c>
    </row>
    <row r="1135">
      <c r="A1135" s="46" t="inlineStr">
        <is>
          <t>W24</t>
        </is>
      </c>
      <c r="B1135" s="46" t="n">
        <v>6</v>
      </c>
      <c r="C1135" s="47" t="n">
        <v>22</v>
      </c>
      <c r="D1135" s="47" t="n">
        <v>84.39</v>
      </c>
      <c r="E1135" s="46" t="str">
        <f>IF(C1135&lt;=72.0,"Y","N")</f>
        <v>Y</v>
      </c>
      <c r="F1135" s="46">
        <f>IF(E1135="Y",D1135,"")</f>
        <v>84.39</v>
      </c>
    </row>
    <row r="1136">
      <c r="A1136" s="46" t="inlineStr">
        <is>
          <t>W24</t>
        </is>
      </c>
      <c r="B1136" s="46" t="n">
        <v>7</v>
      </c>
      <c r="C1136" s="47" t="n">
        <v>22</v>
      </c>
      <c r="D1136" s="47" t="n">
        <v>84.39</v>
      </c>
      <c r="E1136" s="46" t="str">
        <f>IF(C1136&lt;=72.0,"Y","N")</f>
        <v>Y</v>
      </c>
      <c r="F1136" s="46">
        <f>IF(E1136="Y",D1136,"")</f>
        <v>84.39</v>
      </c>
    </row>
    <row r="1137">
      <c r="A1137" s="46" t="inlineStr">
        <is>
          <t>W24</t>
        </is>
      </c>
      <c r="B1137" s="46" t="n">
        <v>8</v>
      </c>
      <c r="C1137" s="47" t="n">
        <v>22</v>
      </c>
      <c r="D1137" s="47" t="n">
        <v>84.59</v>
      </c>
      <c r="E1137" s="46" t="str">
        <f>IF(C1137&lt;=72.0,"Y","N")</f>
        <v>Y</v>
      </c>
      <c r="F1137" s="46">
        <f>IF(E1137="Y",D1137,"")</f>
        <v>84.59</v>
      </c>
    </row>
    <row r="1138">
      <c r="A1138" s="46" t="inlineStr">
        <is>
          <t>W24</t>
        </is>
      </c>
      <c r="B1138" s="46" t="n">
        <v>9</v>
      </c>
      <c r="C1138" s="47" t="n">
        <v>22</v>
      </c>
      <c r="D1138" s="47" t="n">
        <v>84.56</v>
      </c>
      <c r="E1138" s="46" t="str">
        <f>IF(C1138&lt;=72.0,"Y","N")</f>
        <v>Y</v>
      </c>
      <c r="F1138" s="46">
        <f>IF(E1138="Y",D1138,"")</f>
        <v>84.56</v>
      </c>
    </row>
    <row r="1139">
      <c r="A1139" s="46" t="inlineStr">
        <is>
          <t>W24</t>
        </is>
      </c>
      <c r="B1139" s="46" t="n">
        <v>10</v>
      </c>
      <c r="C1139" s="47" t="n">
        <v>40</v>
      </c>
      <c r="D1139" s="47" t="n">
        <v>85.57</v>
      </c>
      <c r="E1139" s="46" t="str">
        <f>IF(C1139&lt;=72.0,"Y","N")</f>
        <v>Y</v>
      </c>
      <c r="F1139" s="46">
        <f>IF(E1139="Y",D1139,"")</f>
        <v>85.57</v>
      </c>
    </row>
    <row r="1140">
      <c r="A1140" s="46" t="inlineStr">
        <is>
          <t>W24</t>
        </is>
      </c>
      <c r="B1140" s="46" t="n">
        <v>11</v>
      </c>
      <c r="C1140" s="47" t="n">
        <v>40</v>
      </c>
      <c r="D1140" s="47" t="n">
        <v>86.93</v>
      </c>
      <c r="E1140" s="46" t="str">
        <f>IF(C1140&lt;=72.0,"Y","N")</f>
        <v>Y</v>
      </c>
      <c r="F1140" s="46">
        <f>IF(E1140="Y",D1140,"")</f>
        <v>86.93</v>
      </c>
    </row>
    <row r="1141">
      <c r="A1141" s="46" t="inlineStr">
        <is>
          <t>W24</t>
        </is>
      </c>
      <c r="B1141" s="46" t="n">
        <v>12</v>
      </c>
      <c r="C1141" s="47" t="n">
        <v>40</v>
      </c>
      <c r="D1141" s="47" t="n">
        <v>86.44</v>
      </c>
      <c r="E1141" s="46" t="str">
        <f>IF(C1141&lt;=72.0,"Y","N")</f>
        <v>Y</v>
      </c>
      <c r="F1141" s="46">
        <f>IF(E1141="Y",D1141,"")</f>
        <v>86.44</v>
      </c>
    </row>
    <row r="1142">
      <c r="A1142" s="46" t="inlineStr">
        <is>
          <t>W24</t>
        </is>
      </c>
      <c r="B1142" s="46" t="n">
        <v>13</v>
      </c>
      <c r="C1142" s="47" t="n">
        <v>40</v>
      </c>
      <c r="D1142" s="47" t="n">
        <v>86.61</v>
      </c>
      <c r="E1142" s="46" t="str">
        <f>IF(C1142&lt;=72.0,"Y","N")</f>
        <v>Y</v>
      </c>
      <c r="F1142" s="46">
        <f>IF(E1142="Y",D1142,"")</f>
        <v>86.61</v>
      </c>
    </row>
    <row r="1143">
      <c r="A1143" s="46" t="inlineStr">
        <is>
          <t>W24</t>
        </is>
      </c>
      <c r="B1143" s="46" t="n">
        <v>14</v>
      </c>
      <c r="C1143" s="47" t="n">
        <v>40</v>
      </c>
      <c r="D1143" s="47" t="n">
        <v>86.95</v>
      </c>
      <c r="E1143" s="46" t="str">
        <f>IF(C1143&lt;=72.0,"Y","N")</f>
        <v>Y</v>
      </c>
      <c r="F1143" s="46">
        <f>IF(E1143="Y",D1143,"")</f>
        <v>86.95</v>
      </c>
    </row>
    <row r="1144">
      <c r="A1144" s="46" t="inlineStr">
        <is>
          <t>W24</t>
        </is>
      </c>
      <c r="B1144" s="46" t="n">
        <v>15</v>
      </c>
      <c r="C1144" s="47" t="n">
        <v>40</v>
      </c>
      <c r="D1144" s="47" t="n">
        <v>85.55</v>
      </c>
      <c r="E1144" s="46" t="str">
        <f>IF(C1144&lt;=72.0,"Y","N")</f>
        <v>Y</v>
      </c>
      <c r="F1144" s="46">
        <f>IF(E1144="Y",D1144,"")</f>
        <v>85.55</v>
      </c>
    </row>
    <row r="1145">
      <c r="A1145" s="46" t="inlineStr">
        <is>
          <t>W24</t>
        </is>
      </c>
      <c r="B1145" s="46" t="n">
        <v>16</v>
      </c>
      <c r="C1145" s="47" t="n">
        <v>40</v>
      </c>
      <c r="D1145" s="47" t="n">
        <v>86.36</v>
      </c>
      <c r="E1145" s="46" t="str">
        <f>IF(C1145&lt;=72.0,"Y","N")</f>
        <v>Y</v>
      </c>
      <c r="F1145" s="46">
        <f>IF(E1145="Y",D1145,"")</f>
        <v>86.36</v>
      </c>
    </row>
    <row r="1146">
      <c r="A1146" s="46" t="inlineStr">
        <is>
          <t>W24</t>
        </is>
      </c>
      <c r="B1146" s="46" t="n">
        <v>17</v>
      </c>
      <c r="C1146" s="47" t="n">
        <v>40</v>
      </c>
      <c r="D1146" s="47" t="n">
        <v>86.79</v>
      </c>
      <c r="E1146" s="46" t="str">
        <f>IF(C1146&lt;=72.0,"Y","N")</f>
        <v>Y</v>
      </c>
      <c r="F1146" s="46">
        <f>IF(E1146="Y",D1146,"")</f>
        <v>86.79</v>
      </c>
    </row>
    <row r="1147">
      <c r="A1147" s="46" t="inlineStr">
        <is>
          <t>W24</t>
        </is>
      </c>
      <c r="B1147" s="46" t="n">
        <v>18</v>
      </c>
      <c r="C1147" s="47" t="n">
        <v>40</v>
      </c>
      <c r="D1147" s="47" t="n">
        <v>86.42</v>
      </c>
      <c r="E1147" s="46" t="str">
        <f>IF(C1147&lt;=72.0,"Y","N")</f>
        <v>Y</v>
      </c>
      <c r="F1147" s="46">
        <f>IF(E1147="Y",D1147,"")</f>
        <v>86.42</v>
      </c>
    </row>
    <row r="1148">
      <c r="A1148" s="46" t="inlineStr">
        <is>
          <t>W24</t>
        </is>
      </c>
      <c r="B1148" s="46" t="n">
        <v>19</v>
      </c>
      <c r="C1148" s="47" t="n">
        <v>40</v>
      </c>
      <c r="D1148" s="47" t="n">
        <v>86.06</v>
      </c>
      <c r="E1148" s="46" t="str">
        <f>IF(C1148&lt;=72.0,"Y","N")</f>
        <v>Y</v>
      </c>
      <c r="F1148" s="46">
        <f>IF(E1148="Y",D1148,"")</f>
        <v>86.06</v>
      </c>
    </row>
    <row r="1149">
      <c r="A1149" s="46" t="inlineStr">
        <is>
          <t>W24</t>
        </is>
      </c>
      <c r="B1149" s="46" t="n">
        <v>20</v>
      </c>
      <c r="C1149" s="47" t="n">
        <v>40</v>
      </c>
      <c r="D1149" s="47" t="n">
        <v>86.51</v>
      </c>
      <c r="E1149" s="46" t="str">
        <f>IF(C1149&lt;=72.0,"Y","N")</f>
        <v>Y</v>
      </c>
      <c r="F1149" s="46">
        <f>IF(E1149="Y",D1149,"")</f>
        <v>86.51</v>
      </c>
    </row>
    <row r="1150">
      <c r="A1150" s="46" t="inlineStr">
        <is>
          <t>W24</t>
        </is>
      </c>
      <c r="B1150" s="46" t="n">
        <v>21</v>
      </c>
      <c r="C1150" s="47" t="n">
        <v>40</v>
      </c>
      <c r="D1150" s="47" t="n">
        <v>85.98</v>
      </c>
      <c r="E1150" s="46" t="str">
        <f>IF(C1150&lt;=72.0,"Y","N")</f>
        <v>Y</v>
      </c>
      <c r="F1150" s="46">
        <f>IF(E1150="Y",D1150,"")</f>
        <v>85.98</v>
      </c>
    </row>
    <row r="1151">
      <c r="A1151" s="46" t="inlineStr">
        <is>
          <t>W24</t>
        </is>
      </c>
      <c r="B1151" s="46" t="n">
        <v>22</v>
      </c>
      <c r="C1151" s="47" t="n">
        <v>58</v>
      </c>
      <c r="D1151" s="47" t="n">
        <v>89.52</v>
      </c>
      <c r="E1151" s="46" t="str">
        <f>IF(C1151&lt;=72.0,"Y","N")</f>
        <v>Y</v>
      </c>
      <c r="F1151" s="46">
        <f>IF(E1151="Y",D1151,"")</f>
        <v>89.52</v>
      </c>
    </row>
    <row r="1152">
      <c r="A1152" s="46" t="inlineStr">
        <is>
          <t>W24</t>
        </is>
      </c>
      <c r="B1152" s="46" t="n">
        <v>23</v>
      </c>
      <c r="C1152" s="47" t="n">
        <v>58</v>
      </c>
      <c r="D1152" s="47" t="n">
        <v>89.16</v>
      </c>
      <c r="E1152" s="46" t="str">
        <f>IF(C1152&lt;=72.0,"Y","N")</f>
        <v>Y</v>
      </c>
      <c r="F1152" s="46">
        <f>IF(E1152="Y",D1152,"")</f>
        <v>89.16</v>
      </c>
    </row>
    <row r="1153">
      <c r="A1153" s="46" t="inlineStr">
        <is>
          <t>W24</t>
        </is>
      </c>
      <c r="B1153" s="46" t="n">
        <v>24</v>
      </c>
      <c r="C1153" s="47" t="n">
        <v>58</v>
      </c>
      <c r="D1153" s="47" t="n">
        <v>89.46</v>
      </c>
      <c r="E1153" s="46" t="str">
        <f>IF(C1153&lt;=72.0,"Y","N")</f>
        <v>Y</v>
      </c>
      <c r="F1153" s="46">
        <f>IF(E1153="Y",D1153,"")</f>
        <v>89.46</v>
      </c>
    </row>
    <row r="1154">
      <c r="A1154" s="46" t="inlineStr">
        <is>
          <t>W24</t>
        </is>
      </c>
      <c r="B1154" s="46" t="n">
        <v>25</v>
      </c>
      <c r="C1154" s="47" t="n">
        <v>58</v>
      </c>
      <c r="D1154" s="47" t="n">
        <v>88.97</v>
      </c>
      <c r="E1154" s="46" t="str">
        <f>IF(C1154&lt;=72.0,"Y","N")</f>
        <v>Y</v>
      </c>
      <c r="F1154" s="46">
        <f>IF(E1154="Y",D1154,"")</f>
        <v>88.97</v>
      </c>
    </row>
    <row r="1155">
      <c r="A1155" s="46" t="inlineStr">
        <is>
          <t>W24</t>
        </is>
      </c>
      <c r="B1155" s="46" t="n">
        <v>26</v>
      </c>
      <c r="C1155" s="47" t="n">
        <v>58</v>
      </c>
      <c r="D1155" s="47" t="n">
        <v>89.5</v>
      </c>
      <c r="E1155" s="46" t="str">
        <f>IF(C1155&lt;=72.0,"Y","N")</f>
        <v>Y</v>
      </c>
      <c r="F1155" s="46">
        <f>IF(E1155="Y",D1155,"")</f>
        <v>89.5</v>
      </c>
    </row>
    <row r="1156">
      <c r="A1156" s="46" t="inlineStr">
        <is>
          <t>W24</t>
        </is>
      </c>
      <c r="B1156" s="46" t="n">
        <v>27</v>
      </c>
      <c r="C1156" s="47" t="n">
        <v>58</v>
      </c>
      <c r="D1156" s="47" t="n">
        <v>89.1</v>
      </c>
      <c r="E1156" s="46" t="str">
        <f>IF(C1156&lt;=72.0,"Y","N")</f>
        <v>Y</v>
      </c>
      <c r="F1156" s="46">
        <f>IF(E1156="Y",D1156,"")</f>
        <v>89.1</v>
      </c>
    </row>
    <row r="1157">
      <c r="A1157" s="46" t="inlineStr">
        <is>
          <t>W24</t>
        </is>
      </c>
      <c r="B1157" s="46" t="n">
        <v>28</v>
      </c>
      <c r="C1157" s="47" t="n">
        <v>58</v>
      </c>
      <c r="D1157" s="47" t="n">
        <v>89.12</v>
      </c>
      <c r="E1157" s="46" t="str">
        <f>IF(C1157&lt;=72.0,"Y","N")</f>
        <v>Y</v>
      </c>
      <c r="F1157" s="46">
        <f>IF(E1157="Y",D1157,"")</f>
        <v>89.12</v>
      </c>
    </row>
    <row r="1158">
      <c r="A1158" s="46" t="inlineStr">
        <is>
          <t>W24</t>
        </is>
      </c>
      <c r="B1158" s="46" t="n">
        <v>29</v>
      </c>
      <c r="C1158" s="47" t="n">
        <v>58</v>
      </c>
      <c r="D1158" s="47" t="n">
        <v>89.25</v>
      </c>
      <c r="E1158" s="46" t="str">
        <f>IF(C1158&lt;=72.0,"Y","N")</f>
        <v>Y</v>
      </c>
      <c r="F1158" s="46">
        <f>IF(E1158="Y",D1158,"")</f>
        <v>89.25</v>
      </c>
    </row>
    <row r="1159">
      <c r="A1159" s="46" t="inlineStr">
        <is>
          <t>W24</t>
        </is>
      </c>
      <c r="B1159" s="46" t="n">
        <v>30</v>
      </c>
      <c r="C1159" s="47" t="n">
        <v>58</v>
      </c>
      <c r="D1159" s="47" t="n">
        <v>88.78</v>
      </c>
      <c r="E1159" s="46" t="str">
        <f>IF(C1159&lt;=72.0,"Y","N")</f>
        <v>Y</v>
      </c>
      <c r="F1159" s="46">
        <f>IF(E1159="Y",D1159,"")</f>
        <v>88.78</v>
      </c>
    </row>
    <row r="1160">
      <c r="A1160" s="46" t="inlineStr">
        <is>
          <t>W24</t>
        </is>
      </c>
      <c r="B1160" s="46" t="n">
        <v>31</v>
      </c>
      <c r="C1160" s="47" t="n">
        <v>58</v>
      </c>
      <c r="D1160" s="47" t="n">
        <v>88.92</v>
      </c>
      <c r="E1160" s="46" t="str">
        <f>IF(C1160&lt;=72.0,"Y","N")</f>
        <v>Y</v>
      </c>
      <c r="F1160" s="46">
        <f>IF(E1160="Y",D1160,"")</f>
        <v>88.92</v>
      </c>
    </row>
    <row r="1161">
      <c r="A1161" s="46" t="inlineStr">
        <is>
          <t>W24</t>
        </is>
      </c>
      <c r="B1161" s="46" t="n">
        <v>32</v>
      </c>
      <c r="C1161" s="47" t="n">
        <v>58</v>
      </c>
      <c r="D1161" s="47" t="n">
        <v>89.86</v>
      </c>
      <c r="E1161" s="46" t="str">
        <f>IF(C1161&lt;=72.0,"Y","N")</f>
        <v>Y</v>
      </c>
      <c r="F1161" s="46">
        <f>IF(E1161="Y",D1161,"")</f>
        <v>89.86</v>
      </c>
    </row>
    <row r="1162">
      <c r="A1162" s="46" t="inlineStr">
        <is>
          <t>W24</t>
        </is>
      </c>
      <c r="B1162" s="46" t="n">
        <v>33</v>
      </c>
      <c r="C1162" s="47" t="n">
        <v>58</v>
      </c>
      <c r="D1162" s="47" t="n">
        <v>89.95</v>
      </c>
      <c r="E1162" s="46" t="str">
        <f>IF(C1162&lt;=72.0,"Y","N")</f>
        <v>Y</v>
      </c>
      <c r="F1162" s="46">
        <f>IF(E1162="Y",D1162,"")</f>
        <v>89.95</v>
      </c>
    </row>
    <row r="1163">
      <c r="A1163" s="46" t="inlineStr">
        <is>
          <t>W24</t>
        </is>
      </c>
      <c r="B1163" s="46" t="n">
        <v>34</v>
      </c>
      <c r="C1163" s="47" t="n">
        <v>73</v>
      </c>
      <c r="D1163" s="47" t="n">
        <v>92.99</v>
      </c>
      <c r="E1163" s="46" t="str">
        <f>IF(C1163&lt;=72.0,"Y","N")</f>
        <v>N</v>
      </c>
      <c r="F1163" s="46" t="str">
        <f>IF(E1163="Y",D1163,"")</f>
        <v/>
      </c>
    </row>
    <row r="1164">
      <c r="A1164" s="46" t="inlineStr">
        <is>
          <t>W24</t>
        </is>
      </c>
      <c r="B1164" s="46" t="n">
        <v>35</v>
      </c>
      <c r="C1164" s="47" t="n">
        <v>73</v>
      </c>
      <c r="D1164" s="47" t="n">
        <v>93.36</v>
      </c>
      <c r="E1164" s="46" t="str">
        <f>IF(C1164&lt;=72.0,"Y","N")</f>
        <v>N</v>
      </c>
      <c r="F1164" s="46" t="str">
        <f>IF(E1164="Y",D1164,"")</f>
        <v/>
      </c>
    </row>
    <row r="1165">
      <c r="A1165" s="46" t="inlineStr">
        <is>
          <t>W24</t>
        </is>
      </c>
      <c r="B1165" s="46" t="n">
        <v>36</v>
      </c>
      <c r="C1165" s="47" t="n">
        <v>73</v>
      </c>
      <c r="D1165" s="47" t="n">
        <v>92.4</v>
      </c>
      <c r="E1165" s="46" t="str">
        <f>IF(C1165&lt;=72.0,"Y","N")</f>
        <v>N</v>
      </c>
      <c r="F1165" s="46" t="str">
        <f>IF(E1165="Y",D1165,"")</f>
        <v/>
      </c>
    </row>
    <row r="1166">
      <c r="A1166" s="46" t="inlineStr">
        <is>
          <t>W24</t>
        </is>
      </c>
      <c r="B1166" s="46" t="n">
        <v>37</v>
      </c>
      <c r="C1166" s="47" t="n">
        <v>73</v>
      </c>
      <c r="D1166" s="47" t="n">
        <v>92.26</v>
      </c>
      <c r="E1166" s="46" t="str">
        <f>IF(C1166&lt;=72.0,"Y","N")</f>
        <v>N</v>
      </c>
      <c r="F1166" s="46" t="str">
        <f>IF(E1166="Y",D1166,"")</f>
        <v/>
      </c>
    </row>
    <row r="1167">
      <c r="A1167" s="46" t="inlineStr">
        <is>
          <t>W24</t>
        </is>
      </c>
      <c r="B1167" s="46" t="n">
        <v>38</v>
      </c>
      <c r="C1167" s="47" t="n">
        <v>73</v>
      </c>
      <c r="D1167" s="47" t="n">
        <v>92.23</v>
      </c>
      <c r="E1167" s="46" t="str">
        <f>IF(C1167&lt;=72.0,"Y","N")</f>
        <v>N</v>
      </c>
      <c r="F1167" s="46" t="str">
        <f>IF(E1167="Y",D1167,"")</f>
        <v/>
      </c>
    </row>
    <row r="1168">
      <c r="A1168" s="46" t="inlineStr">
        <is>
          <t>W24</t>
        </is>
      </c>
      <c r="B1168" s="46" t="n">
        <v>39</v>
      </c>
      <c r="C1168" s="47" t="n">
        <v>73</v>
      </c>
      <c r="D1168" s="47" t="n">
        <v>92.61</v>
      </c>
      <c r="E1168" s="46" t="str">
        <f>IF(C1168&lt;=72.0,"Y","N")</f>
        <v>N</v>
      </c>
      <c r="F1168" s="46" t="str">
        <f>IF(E1168="Y",D1168,"")</f>
        <v/>
      </c>
    </row>
    <row r="1169">
      <c r="A1169" s="46" t="inlineStr">
        <is>
          <t>W24</t>
        </is>
      </c>
      <c r="B1169" s="46" t="n">
        <v>40</v>
      </c>
      <c r="C1169" s="47" t="n">
        <v>73</v>
      </c>
      <c r="D1169" s="47" t="n">
        <v>93.41</v>
      </c>
      <c r="E1169" s="46" t="str">
        <f>IF(C1169&lt;=72.0,"Y","N")</f>
        <v>N</v>
      </c>
      <c r="F1169" s="46" t="str">
        <f>IF(E1169="Y",D1169,"")</f>
        <v/>
      </c>
    </row>
    <row r="1170">
      <c r="A1170" s="46" t="inlineStr">
        <is>
          <t>W24</t>
        </is>
      </c>
      <c r="B1170" s="46" t="n">
        <v>41</v>
      </c>
      <c r="C1170" s="47" t="n">
        <v>73</v>
      </c>
      <c r="D1170" s="47" t="n">
        <v>93.36</v>
      </c>
      <c r="E1170" s="46" t="str">
        <f>IF(C1170&lt;=72.0,"Y","N")</f>
        <v>N</v>
      </c>
      <c r="F1170" s="46" t="str">
        <f>IF(E1170="Y",D1170,"")</f>
        <v/>
      </c>
    </row>
    <row r="1171">
      <c r="A1171" s="46" t="inlineStr">
        <is>
          <t>W24</t>
        </is>
      </c>
      <c r="B1171" s="46" t="n">
        <v>42</v>
      </c>
      <c r="C1171" s="47" t="n">
        <v>73</v>
      </c>
      <c r="D1171" s="47" t="n">
        <v>93.39</v>
      </c>
      <c r="E1171" s="46" t="str">
        <f>IF(C1171&lt;=72.0,"Y","N")</f>
        <v>N</v>
      </c>
      <c r="F1171" s="46" t="str">
        <f>IF(E1171="Y",D1171,"")</f>
        <v/>
      </c>
    </row>
    <row r="1172">
      <c r="A1172" s="46" t="inlineStr">
        <is>
          <t>W24</t>
        </is>
      </c>
      <c r="B1172" s="46" t="n">
        <v>43</v>
      </c>
      <c r="C1172" s="47" t="n">
        <v>73</v>
      </c>
      <c r="D1172" s="47" t="n">
        <v>92.33</v>
      </c>
      <c r="E1172" s="46" t="str">
        <f>IF(C1172&lt;=72.0,"Y","N")</f>
        <v>N</v>
      </c>
      <c r="F1172" s="46" t="str">
        <f>IF(E1172="Y",D1172,"")</f>
        <v/>
      </c>
    </row>
    <row r="1173">
      <c r="A1173" s="46" t="inlineStr">
        <is>
          <t>W24</t>
        </is>
      </c>
      <c r="B1173" s="46" t="n">
        <v>44</v>
      </c>
      <c r="C1173" s="47" t="n">
        <v>73</v>
      </c>
      <c r="D1173" s="47" t="n">
        <v>93.36</v>
      </c>
      <c r="E1173" s="46" t="str">
        <f>IF(C1173&lt;=72.0,"Y","N")</f>
        <v>N</v>
      </c>
      <c r="F1173" s="46" t="str">
        <f>IF(E1173="Y",D1173,"")</f>
        <v/>
      </c>
    </row>
    <row r="1174">
      <c r="A1174" s="46" t="inlineStr">
        <is>
          <t>W24</t>
        </is>
      </c>
      <c r="B1174" s="46" t="n">
        <v>45</v>
      </c>
      <c r="C1174" s="47" t="n">
        <v>73</v>
      </c>
      <c r="D1174" s="47" t="n">
        <v>92.86</v>
      </c>
      <c r="E1174" s="46" t="str">
        <f>IF(C1174&lt;=72.0,"Y","N")</f>
        <v>N</v>
      </c>
      <c r="F1174" s="46" t="str">
        <f>IF(E1174="Y",D1174,"")</f>
        <v/>
      </c>
    </row>
    <row r="1175">
      <c r="A1175" s="46" t="inlineStr">
        <is>
          <t>W24</t>
        </is>
      </c>
      <c r="B1175" s="46" t="n">
        <v>46</v>
      </c>
      <c r="C1175" s="47" t="n">
        <v>73</v>
      </c>
      <c r="D1175" s="47" t="n">
        <v>93.1</v>
      </c>
      <c r="E1175" s="46" t="str">
        <f>IF(C1175&lt;=72.0,"Y","N")</f>
        <v>N</v>
      </c>
      <c r="F1175" s="46" t="str">
        <f>IF(E1175="Y",D1175,"")</f>
        <v/>
      </c>
    </row>
    <row r="1176">
      <c r="A1176" s="46" t="inlineStr">
        <is>
          <t>W24</t>
        </is>
      </c>
      <c r="B1176" s="46" t="n">
        <v>47</v>
      </c>
      <c r="C1176" s="47" t="n">
        <v>73</v>
      </c>
      <c r="D1176" s="47" t="n">
        <v>92.47</v>
      </c>
      <c r="E1176" s="46" t="str">
        <f>IF(C1176&lt;=72.0,"Y","N")</f>
        <v>N</v>
      </c>
      <c r="F1176" s="46" t="str">
        <f>IF(E1176="Y",D1176,"")</f>
        <v/>
      </c>
    </row>
    <row r="1177">
      <c r="A1177" s="46" t="inlineStr">
        <is>
          <t>W24</t>
        </is>
      </c>
      <c r="B1177" s="46" t="n">
        <v>48</v>
      </c>
      <c r="C1177" s="47" t="n">
        <v>73</v>
      </c>
      <c r="D1177" s="47" t="n">
        <v>93</v>
      </c>
      <c r="E1177" s="46" t="str">
        <f>IF(C1177&lt;=72.0,"Y","N")</f>
        <v>N</v>
      </c>
      <c r="F1177" s="46" t="str">
        <f>IF(E1177="Y",D1177,"")</f>
        <v/>
      </c>
    </row>
    <row r="1178">
      <c r="A1178" s="46" t="inlineStr">
        <is>
          <t>W24</t>
        </is>
      </c>
      <c r="B1178" s="46" t="n">
        <v>49</v>
      </c>
      <c r="C1178" s="47" t="n">
        <v>73</v>
      </c>
      <c r="D1178" s="47" t="n">
        <v>92.92</v>
      </c>
      <c r="E1178" s="46" t="str">
        <f>IF(C1178&lt;=72.0,"Y","N")</f>
        <v>N</v>
      </c>
      <c r="F1178" s="46" t="str">
        <f>IF(E1178="Y",D1178,"")</f>
        <v/>
      </c>
    </row>
    <row r="1179">
      <c r="A1179" s="46" t="inlineStr">
        <is>
          <t>W25</t>
        </is>
      </c>
      <c r="B1179" s="46" t="n">
        <v>1</v>
      </c>
      <c r="C1179" s="47" t="n">
        <v>0</v>
      </c>
      <c r="D1179" s="47" t="n">
        <v>81.23</v>
      </c>
      <c r="E1179" s="46" t="str">
        <f>IF(C1179&lt;=72.0,"Y","N")</f>
        <v>Y</v>
      </c>
      <c r="F1179" s="46">
        <f>IF(E1179="Y",D1179,"")</f>
        <v>81.23</v>
      </c>
    </row>
    <row r="1180">
      <c r="A1180" s="46" t="inlineStr">
        <is>
          <t>W25</t>
        </is>
      </c>
      <c r="B1180" s="46" t="n">
        <v>2</v>
      </c>
      <c r="C1180" s="47" t="n">
        <v>22</v>
      </c>
      <c r="D1180" s="47" t="n">
        <v>82.91</v>
      </c>
      <c r="E1180" s="46" t="str">
        <f>IF(C1180&lt;=72.0,"Y","N")</f>
        <v>Y</v>
      </c>
      <c r="F1180" s="46">
        <f>IF(E1180="Y",D1180,"")</f>
        <v>82.91</v>
      </c>
    </row>
    <row r="1181">
      <c r="A1181" s="46" t="inlineStr">
        <is>
          <t>W25</t>
        </is>
      </c>
      <c r="B1181" s="46" t="n">
        <v>3</v>
      </c>
      <c r="C1181" s="47" t="n">
        <v>22</v>
      </c>
      <c r="D1181" s="47" t="n">
        <v>81.88</v>
      </c>
      <c r="E1181" s="46" t="str">
        <f>IF(C1181&lt;=72.0,"Y","N")</f>
        <v>Y</v>
      </c>
      <c r="F1181" s="46">
        <f>IF(E1181="Y",D1181,"")</f>
        <v>81.88</v>
      </c>
    </row>
    <row r="1182">
      <c r="A1182" s="46" t="inlineStr">
        <is>
          <t>W25</t>
        </is>
      </c>
      <c r="B1182" s="46" t="n">
        <v>4</v>
      </c>
      <c r="C1182" s="47" t="n">
        <v>22</v>
      </c>
      <c r="D1182" s="47" t="n">
        <v>82.72</v>
      </c>
      <c r="E1182" s="46" t="str">
        <f>IF(C1182&lt;=72.0,"Y","N")</f>
        <v>Y</v>
      </c>
      <c r="F1182" s="46">
        <f>IF(E1182="Y",D1182,"")</f>
        <v>82.72</v>
      </c>
    </row>
    <row r="1183">
      <c r="A1183" s="46" t="inlineStr">
        <is>
          <t>W25</t>
        </is>
      </c>
      <c r="B1183" s="46" t="n">
        <v>5</v>
      </c>
      <c r="C1183" s="47" t="n">
        <v>22</v>
      </c>
      <c r="D1183" s="47" t="n">
        <v>81.58</v>
      </c>
      <c r="E1183" s="46" t="str">
        <f>IF(C1183&lt;=72.0,"Y","N")</f>
        <v>Y</v>
      </c>
      <c r="F1183" s="46">
        <f>IF(E1183="Y",D1183,"")</f>
        <v>81.58</v>
      </c>
    </row>
    <row r="1184">
      <c r="A1184" s="46" t="inlineStr">
        <is>
          <t>W25</t>
        </is>
      </c>
      <c r="B1184" s="46" t="n">
        <v>6</v>
      </c>
      <c r="C1184" s="47" t="n">
        <v>22</v>
      </c>
      <c r="D1184" s="47" t="n">
        <v>82.36</v>
      </c>
      <c r="E1184" s="46" t="str">
        <f>IF(C1184&lt;=72.0,"Y","N")</f>
        <v>Y</v>
      </c>
      <c r="F1184" s="46">
        <f>IF(E1184="Y",D1184,"")</f>
        <v>82.36</v>
      </c>
    </row>
    <row r="1185">
      <c r="A1185" s="46" t="inlineStr">
        <is>
          <t>W25</t>
        </is>
      </c>
      <c r="B1185" s="46" t="n">
        <v>7</v>
      </c>
      <c r="C1185" s="47" t="n">
        <v>22</v>
      </c>
      <c r="D1185" s="47" t="n">
        <v>81.47</v>
      </c>
      <c r="E1185" s="46" t="str">
        <f>IF(C1185&lt;=72.0,"Y","N")</f>
        <v>Y</v>
      </c>
      <c r="F1185" s="46">
        <f>IF(E1185="Y",D1185,"")</f>
        <v>81.47</v>
      </c>
    </row>
    <row r="1186">
      <c r="A1186" s="46" t="inlineStr">
        <is>
          <t>W25</t>
        </is>
      </c>
      <c r="B1186" s="46" t="n">
        <v>8</v>
      </c>
      <c r="C1186" s="47" t="n">
        <v>22</v>
      </c>
      <c r="D1186" s="47" t="n">
        <v>81.72</v>
      </c>
      <c r="E1186" s="46" t="str">
        <f>IF(C1186&lt;=72.0,"Y","N")</f>
        <v>Y</v>
      </c>
      <c r="F1186" s="46">
        <f>IF(E1186="Y",D1186,"")</f>
        <v>81.72</v>
      </c>
    </row>
    <row r="1187">
      <c r="A1187" s="46" t="inlineStr">
        <is>
          <t>W25</t>
        </is>
      </c>
      <c r="B1187" s="46" t="n">
        <v>9</v>
      </c>
      <c r="C1187" s="47" t="n">
        <v>22</v>
      </c>
      <c r="D1187" s="47" t="n">
        <v>82.15</v>
      </c>
      <c r="E1187" s="46" t="str">
        <f>IF(C1187&lt;=72.0,"Y","N")</f>
        <v>Y</v>
      </c>
      <c r="F1187" s="46">
        <f>IF(E1187="Y",D1187,"")</f>
        <v>82.15</v>
      </c>
    </row>
    <row r="1188">
      <c r="A1188" s="46" t="inlineStr">
        <is>
          <t>W25</t>
        </is>
      </c>
      <c r="B1188" s="46" t="n">
        <v>10</v>
      </c>
      <c r="C1188" s="47" t="n">
        <v>40</v>
      </c>
      <c r="D1188" s="47" t="n">
        <v>84.74</v>
      </c>
      <c r="E1188" s="46" t="str">
        <f>IF(C1188&lt;=72.0,"Y","N")</f>
        <v>Y</v>
      </c>
      <c r="F1188" s="46">
        <f>IF(E1188="Y",D1188,"")</f>
        <v>84.74</v>
      </c>
    </row>
    <row r="1189">
      <c r="A1189" s="46" t="inlineStr">
        <is>
          <t>W25</t>
        </is>
      </c>
      <c r="B1189" s="46" t="n">
        <v>11</v>
      </c>
      <c r="C1189" s="47" t="n">
        <v>40</v>
      </c>
      <c r="D1189" s="47" t="n">
        <v>83.91</v>
      </c>
      <c r="E1189" s="46" t="str">
        <f>IF(C1189&lt;=72.0,"Y","N")</f>
        <v>Y</v>
      </c>
      <c r="F1189" s="46">
        <f>IF(E1189="Y",D1189,"")</f>
        <v>83.91</v>
      </c>
    </row>
    <row r="1190">
      <c r="A1190" s="46" t="inlineStr">
        <is>
          <t>W25</t>
        </is>
      </c>
      <c r="B1190" s="46" t="n">
        <v>12</v>
      </c>
      <c r="C1190" s="47" t="n">
        <v>40</v>
      </c>
      <c r="D1190" s="47" t="n">
        <v>83.74</v>
      </c>
      <c r="E1190" s="46" t="str">
        <f>IF(C1190&lt;=72.0,"Y","N")</f>
        <v>Y</v>
      </c>
      <c r="F1190" s="46">
        <f>IF(E1190="Y",D1190,"")</f>
        <v>83.74</v>
      </c>
    </row>
    <row r="1191">
      <c r="A1191" s="46" t="inlineStr">
        <is>
          <t>W25</t>
        </is>
      </c>
      <c r="B1191" s="46" t="n">
        <v>13</v>
      </c>
      <c r="C1191" s="47" t="n">
        <v>40</v>
      </c>
      <c r="D1191" s="47" t="n">
        <v>84.08</v>
      </c>
      <c r="E1191" s="46" t="str">
        <f>IF(C1191&lt;=72.0,"Y","N")</f>
        <v>Y</v>
      </c>
      <c r="F1191" s="46">
        <f>IF(E1191="Y",D1191,"")</f>
        <v>84.08</v>
      </c>
    </row>
    <row r="1192">
      <c r="A1192" s="46" t="inlineStr">
        <is>
          <t>W25</t>
        </is>
      </c>
      <c r="B1192" s="46" t="n">
        <v>14</v>
      </c>
      <c r="C1192" s="47" t="n">
        <v>40</v>
      </c>
      <c r="D1192" s="47" t="n">
        <v>84.53</v>
      </c>
      <c r="E1192" s="46" t="str">
        <f>IF(C1192&lt;=72.0,"Y","N")</f>
        <v>Y</v>
      </c>
      <c r="F1192" s="46">
        <f>IF(E1192="Y",D1192,"")</f>
        <v>84.53</v>
      </c>
    </row>
    <row r="1193">
      <c r="A1193" s="46" t="inlineStr">
        <is>
          <t>W25</t>
        </is>
      </c>
      <c r="B1193" s="46" t="n">
        <v>15</v>
      </c>
      <c r="C1193" s="47" t="n">
        <v>40</v>
      </c>
      <c r="D1193" s="47" t="n">
        <v>83.6</v>
      </c>
      <c r="E1193" s="46" t="str">
        <f>IF(C1193&lt;=72.0,"Y","N")</f>
        <v>Y</v>
      </c>
      <c r="F1193" s="46">
        <f>IF(E1193="Y",D1193,"")</f>
        <v>83.6</v>
      </c>
    </row>
    <row r="1194">
      <c r="A1194" s="46" t="inlineStr">
        <is>
          <t>W25</t>
        </is>
      </c>
      <c r="B1194" s="46" t="n">
        <v>16</v>
      </c>
      <c r="C1194" s="47" t="n">
        <v>40</v>
      </c>
      <c r="D1194" s="47" t="n">
        <v>84.85</v>
      </c>
      <c r="E1194" s="46" t="str">
        <f>IF(C1194&lt;=72.0,"Y","N")</f>
        <v>Y</v>
      </c>
      <c r="F1194" s="46">
        <f>IF(E1194="Y",D1194,"")</f>
        <v>84.85</v>
      </c>
    </row>
    <row r="1195">
      <c r="A1195" s="46" t="inlineStr">
        <is>
          <t>W25</t>
        </is>
      </c>
      <c r="B1195" s="46" t="n">
        <v>17</v>
      </c>
      <c r="C1195" s="47" t="n">
        <v>40</v>
      </c>
      <c r="D1195" s="47" t="n">
        <v>84.27</v>
      </c>
      <c r="E1195" s="46" t="str">
        <f>IF(C1195&lt;=72.0,"Y","N")</f>
        <v>Y</v>
      </c>
      <c r="F1195" s="46">
        <f>IF(E1195="Y",D1195,"")</f>
        <v>84.27</v>
      </c>
    </row>
    <row r="1196">
      <c r="A1196" s="46" t="inlineStr">
        <is>
          <t>W25</t>
        </is>
      </c>
      <c r="B1196" s="46" t="n">
        <v>18</v>
      </c>
      <c r="C1196" s="47" t="n">
        <v>40</v>
      </c>
      <c r="D1196" s="47" t="n">
        <v>84.46</v>
      </c>
      <c r="E1196" s="46" t="str">
        <f>IF(C1196&lt;=72.0,"Y","N")</f>
        <v>Y</v>
      </c>
      <c r="F1196" s="46">
        <f>IF(E1196="Y",D1196,"")</f>
        <v>84.46</v>
      </c>
    </row>
    <row r="1197">
      <c r="A1197" s="46" t="inlineStr">
        <is>
          <t>W25</t>
        </is>
      </c>
      <c r="B1197" s="46" t="n">
        <v>19</v>
      </c>
      <c r="C1197" s="47" t="n">
        <v>40</v>
      </c>
      <c r="D1197" s="47" t="n">
        <v>83.64</v>
      </c>
      <c r="E1197" s="46" t="str">
        <f>IF(C1197&lt;=72.0,"Y","N")</f>
        <v>Y</v>
      </c>
      <c r="F1197" s="46">
        <f>IF(E1197="Y",D1197,"")</f>
        <v>83.64</v>
      </c>
    </row>
    <row r="1198">
      <c r="A1198" s="46" t="inlineStr">
        <is>
          <t>W25</t>
        </is>
      </c>
      <c r="B1198" s="46" t="n">
        <v>20</v>
      </c>
      <c r="C1198" s="47" t="n">
        <v>40</v>
      </c>
      <c r="D1198" s="47" t="n">
        <v>83.51</v>
      </c>
      <c r="E1198" s="46" t="str">
        <f>IF(C1198&lt;=72.0,"Y","N")</f>
        <v>Y</v>
      </c>
      <c r="F1198" s="46">
        <f>IF(E1198="Y",D1198,"")</f>
        <v>83.51</v>
      </c>
    </row>
    <row r="1199">
      <c r="A1199" s="46" t="inlineStr">
        <is>
          <t>W25</t>
        </is>
      </c>
      <c r="B1199" s="46" t="n">
        <v>21</v>
      </c>
      <c r="C1199" s="47" t="n">
        <v>40</v>
      </c>
      <c r="D1199" s="47" t="n">
        <v>84.14</v>
      </c>
      <c r="E1199" s="46" t="str">
        <f>IF(C1199&lt;=72.0,"Y","N")</f>
        <v>Y</v>
      </c>
      <c r="F1199" s="46">
        <f>IF(E1199="Y",D1199,"")</f>
        <v>84.14</v>
      </c>
    </row>
    <row r="1200">
      <c r="A1200" s="46" t="inlineStr">
        <is>
          <t>W25</t>
        </is>
      </c>
      <c r="B1200" s="46" t="n">
        <v>22</v>
      </c>
      <c r="C1200" s="47" t="n">
        <v>58</v>
      </c>
      <c r="D1200" s="47" t="n">
        <v>87.38</v>
      </c>
      <c r="E1200" s="46" t="str">
        <f>IF(C1200&lt;=72.0,"Y","N")</f>
        <v>Y</v>
      </c>
      <c r="F1200" s="46">
        <f>IF(E1200="Y",D1200,"")</f>
        <v>87.38</v>
      </c>
    </row>
    <row r="1201">
      <c r="A1201" s="46" t="inlineStr">
        <is>
          <t>W25</t>
        </is>
      </c>
      <c r="B1201" s="46" t="n">
        <v>23</v>
      </c>
      <c r="C1201" s="47" t="n">
        <v>58</v>
      </c>
      <c r="D1201" s="47" t="n">
        <v>87.58</v>
      </c>
      <c r="E1201" s="46" t="str">
        <f>IF(C1201&lt;=72.0,"Y","N")</f>
        <v>Y</v>
      </c>
      <c r="F1201" s="46">
        <f>IF(E1201="Y",D1201,"")</f>
        <v>87.58</v>
      </c>
    </row>
    <row r="1202">
      <c r="A1202" s="46" t="inlineStr">
        <is>
          <t>W25</t>
        </is>
      </c>
      <c r="B1202" s="46" t="n">
        <v>24</v>
      </c>
      <c r="C1202" s="47" t="n">
        <v>58</v>
      </c>
      <c r="D1202" s="47" t="n">
        <v>87.48</v>
      </c>
      <c r="E1202" s="46" t="str">
        <f>IF(C1202&lt;=72.0,"Y","N")</f>
        <v>Y</v>
      </c>
      <c r="F1202" s="46">
        <f>IF(E1202="Y",D1202,"")</f>
        <v>87.48</v>
      </c>
    </row>
    <row r="1203">
      <c r="A1203" s="46" t="inlineStr">
        <is>
          <t>W25</t>
        </is>
      </c>
      <c r="B1203" s="46" t="n">
        <v>25</v>
      </c>
      <c r="C1203" s="47" t="n">
        <v>58</v>
      </c>
      <c r="D1203" s="47" t="n">
        <v>86.57</v>
      </c>
      <c r="E1203" s="46" t="str">
        <f>IF(C1203&lt;=72.0,"Y","N")</f>
        <v>Y</v>
      </c>
      <c r="F1203" s="46">
        <f>IF(E1203="Y",D1203,"")</f>
        <v>86.57</v>
      </c>
    </row>
    <row r="1204">
      <c r="A1204" s="46" t="inlineStr">
        <is>
          <t>W25</t>
        </is>
      </c>
      <c r="B1204" s="46" t="n">
        <v>26</v>
      </c>
      <c r="C1204" s="47" t="n">
        <v>58</v>
      </c>
      <c r="D1204" s="47" t="n">
        <v>87.34</v>
      </c>
      <c r="E1204" s="46" t="str">
        <f>IF(C1204&lt;=72.0,"Y","N")</f>
        <v>Y</v>
      </c>
      <c r="F1204" s="46">
        <f>IF(E1204="Y",D1204,"")</f>
        <v>87.34</v>
      </c>
    </row>
    <row r="1205">
      <c r="A1205" s="46" t="inlineStr">
        <is>
          <t>W25</t>
        </is>
      </c>
      <c r="B1205" s="46" t="n">
        <v>27</v>
      </c>
      <c r="C1205" s="47" t="n">
        <v>58</v>
      </c>
      <c r="D1205" s="47" t="n">
        <v>87.19</v>
      </c>
      <c r="E1205" s="46" t="str">
        <f>IF(C1205&lt;=72.0,"Y","N")</f>
        <v>Y</v>
      </c>
      <c r="F1205" s="46">
        <f>IF(E1205="Y",D1205,"")</f>
        <v>87.19</v>
      </c>
    </row>
    <row r="1206">
      <c r="A1206" s="46" t="inlineStr">
        <is>
          <t>W25</t>
        </is>
      </c>
      <c r="B1206" s="46" t="n">
        <v>28</v>
      </c>
      <c r="C1206" s="47" t="n">
        <v>58</v>
      </c>
      <c r="D1206" s="47" t="n">
        <v>86.96</v>
      </c>
      <c r="E1206" s="46" t="str">
        <f>IF(C1206&lt;=72.0,"Y","N")</f>
        <v>Y</v>
      </c>
      <c r="F1206" s="46">
        <f>IF(E1206="Y",D1206,"")</f>
        <v>86.96</v>
      </c>
    </row>
    <row r="1207">
      <c r="A1207" s="46" t="inlineStr">
        <is>
          <t>W25</t>
        </is>
      </c>
      <c r="B1207" s="46" t="n">
        <v>29</v>
      </c>
      <c r="C1207" s="47" t="n">
        <v>58</v>
      </c>
      <c r="D1207" s="47" t="n">
        <v>87.73</v>
      </c>
      <c r="E1207" s="46" t="str">
        <f>IF(C1207&lt;=72.0,"Y","N")</f>
        <v>Y</v>
      </c>
      <c r="F1207" s="46">
        <f>IF(E1207="Y",D1207,"")</f>
        <v>87.73</v>
      </c>
    </row>
    <row r="1208">
      <c r="A1208" s="46" t="inlineStr">
        <is>
          <t>W25</t>
        </is>
      </c>
      <c r="B1208" s="46" t="n">
        <v>30</v>
      </c>
      <c r="C1208" s="47" t="n">
        <v>58</v>
      </c>
      <c r="D1208" s="47" t="n">
        <v>87.33</v>
      </c>
      <c r="E1208" s="46" t="str">
        <f>IF(C1208&lt;=72.0,"Y","N")</f>
        <v>Y</v>
      </c>
      <c r="F1208" s="46">
        <f>IF(E1208="Y",D1208,"")</f>
        <v>87.33</v>
      </c>
    </row>
    <row r="1209">
      <c r="A1209" s="46" t="inlineStr">
        <is>
          <t>W25</t>
        </is>
      </c>
      <c r="B1209" s="46" t="n">
        <v>31</v>
      </c>
      <c r="C1209" s="47" t="n">
        <v>58</v>
      </c>
      <c r="D1209" s="47" t="n">
        <v>87.71</v>
      </c>
      <c r="E1209" s="46" t="str">
        <f>IF(C1209&lt;=72.0,"Y","N")</f>
        <v>Y</v>
      </c>
      <c r="F1209" s="46">
        <f>IF(E1209="Y",D1209,"")</f>
        <v>87.71</v>
      </c>
    </row>
    <row r="1210">
      <c r="A1210" s="46" t="inlineStr">
        <is>
          <t>W25</t>
        </is>
      </c>
      <c r="B1210" s="46" t="n">
        <v>32</v>
      </c>
      <c r="C1210" s="47" t="n">
        <v>58</v>
      </c>
      <c r="D1210" s="47" t="n">
        <v>86.59</v>
      </c>
      <c r="E1210" s="46" t="str">
        <f>IF(C1210&lt;=72.0,"Y","N")</f>
        <v>Y</v>
      </c>
      <c r="F1210" s="46">
        <f>IF(E1210="Y",D1210,"")</f>
        <v>86.59</v>
      </c>
    </row>
    <row r="1211">
      <c r="A1211" s="46" t="inlineStr">
        <is>
          <t>W25</t>
        </is>
      </c>
      <c r="B1211" s="46" t="n">
        <v>33</v>
      </c>
      <c r="C1211" s="47" t="n">
        <v>58</v>
      </c>
      <c r="D1211" s="47" t="n">
        <v>86.88</v>
      </c>
      <c r="E1211" s="46" t="str">
        <f>IF(C1211&lt;=72.0,"Y","N")</f>
        <v>Y</v>
      </c>
      <c r="F1211" s="46">
        <f>IF(E1211="Y",D1211,"")</f>
        <v>86.88</v>
      </c>
    </row>
    <row r="1212">
      <c r="A1212" s="46" t="inlineStr">
        <is>
          <t>W25</t>
        </is>
      </c>
      <c r="B1212" s="46" t="n">
        <v>34</v>
      </c>
      <c r="C1212" s="47" t="n">
        <v>73</v>
      </c>
      <c r="D1212" s="47" t="n">
        <v>91.11</v>
      </c>
      <c r="E1212" s="46" t="str">
        <f>IF(C1212&lt;=72.0,"Y","N")</f>
        <v>N</v>
      </c>
      <c r="F1212" s="46" t="str">
        <f>IF(E1212="Y",D1212,"")</f>
        <v/>
      </c>
    </row>
    <row r="1213">
      <c r="A1213" s="46" t="inlineStr">
        <is>
          <t>W25</t>
        </is>
      </c>
      <c r="B1213" s="46" t="n">
        <v>35</v>
      </c>
      <c r="C1213" s="47" t="n">
        <v>73</v>
      </c>
      <c r="D1213" s="47" t="n">
        <v>90.03</v>
      </c>
      <c r="E1213" s="46" t="str">
        <f>IF(C1213&lt;=72.0,"Y","N")</f>
        <v>N</v>
      </c>
      <c r="F1213" s="46" t="str">
        <f>IF(E1213="Y",D1213,"")</f>
        <v/>
      </c>
    </row>
    <row r="1214">
      <c r="A1214" s="46" t="inlineStr">
        <is>
          <t>W25</t>
        </is>
      </c>
      <c r="B1214" s="46" t="n">
        <v>36</v>
      </c>
      <c r="C1214" s="47" t="n">
        <v>73</v>
      </c>
      <c r="D1214" s="47" t="n">
        <v>90.74</v>
      </c>
      <c r="E1214" s="46" t="str">
        <f>IF(C1214&lt;=72.0,"Y","N")</f>
        <v>N</v>
      </c>
      <c r="F1214" s="46" t="str">
        <f>IF(E1214="Y",D1214,"")</f>
        <v/>
      </c>
    </row>
    <row r="1215">
      <c r="A1215" s="46" t="inlineStr">
        <is>
          <t>W25</t>
        </is>
      </c>
      <c r="B1215" s="46" t="n">
        <v>37</v>
      </c>
      <c r="C1215" s="47" t="n">
        <v>73</v>
      </c>
      <c r="D1215" s="47" t="n">
        <v>90.62</v>
      </c>
      <c r="E1215" s="46" t="str">
        <f>IF(C1215&lt;=72.0,"Y","N")</f>
        <v>N</v>
      </c>
      <c r="F1215" s="46" t="str">
        <f>IF(E1215="Y",D1215,"")</f>
        <v/>
      </c>
    </row>
    <row r="1216">
      <c r="A1216" s="46" t="inlineStr">
        <is>
          <t>W25</t>
        </is>
      </c>
      <c r="B1216" s="46" t="n">
        <v>38</v>
      </c>
      <c r="C1216" s="47" t="n">
        <v>73</v>
      </c>
      <c r="D1216" s="47" t="n">
        <v>91.22</v>
      </c>
      <c r="E1216" s="46" t="str">
        <f>IF(C1216&lt;=72.0,"Y","N")</f>
        <v>N</v>
      </c>
      <c r="F1216" s="46" t="str">
        <f>IF(E1216="Y",D1216,"")</f>
        <v/>
      </c>
    </row>
    <row r="1217">
      <c r="A1217" s="46" t="inlineStr">
        <is>
          <t>W25</t>
        </is>
      </c>
      <c r="B1217" s="46" t="n">
        <v>39</v>
      </c>
      <c r="C1217" s="47" t="n">
        <v>73</v>
      </c>
      <c r="D1217" s="47" t="n">
        <v>90.25</v>
      </c>
      <c r="E1217" s="46" t="str">
        <f>IF(C1217&lt;=72.0,"Y","N")</f>
        <v>N</v>
      </c>
      <c r="F1217" s="46" t="str">
        <f>IF(E1217="Y",D1217,"")</f>
        <v/>
      </c>
    </row>
    <row r="1218">
      <c r="A1218" s="46" t="inlineStr">
        <is>
          <t>W25</t>
        </is>
      </c>
      <c r="B1218" s="46" t="n">
        <v>40</v>
      </c>
      <c r="C1218" s="47" t="n">
        <v>73</v>
      </c>
      <c r="D1218" s="47" t="n">
        <v>90.71</v>
      </c>
      <c r="E1218" s="46" t="str">
        <f>IF(C1218&lt;=72.0,"Y","N")</f>
        <v>N</v>
      </c>
      <c r="F1218" s="46" t="str">
        <f>IF(E1218="Y",D1218,"")</f>
        <v/>
      </c>
    </row>
    <row r="1219">
      <c r="A1219" s="46" t="inlineStr">
        <is>
          <t>W25</t>
        </is>
      </c>
      <c r="B1219" s="46" t="n">
        <v>41</v>
      </c>
      <c r="C1219" s="47" t="n">
        <v>73</v>
      </c>
      <c r="D1219" s="47" t="n">
        <v>91.12</v>
      </c>
      <c r="E1219" s="46" t="str">
        <f>IF(C1219&lt;=72.0,"Y","N")</f>
        <v>N</v>
      </c>
      <c r="F1219" s="46" t="str">
        <f>IF(E1219="Y",D1219,"")</f>
        <v/>
      </c>
    </row>
    <row r="1220">
      <c r="A1220" s="46" t="inlineStr">
        <is>
          <t>W25</t>
        </is>
      </c>
      <c r="B1220" s="46" t="n">
        <v>42</v>
      </c>
      <c r="C1220" s="47" t="n">
        <v>73</v>
      </c>
      <c r="D1220" s="47" t="n">
        <v>90.74</v>
      </c>
      <c r="E1220" s="46" t="str">
        <f>IF(C1220&lt;=72.0,"Y","N")</f>
        <v>N</v>
      </c>
      <c r="F1220" s="46" t="str">
        <f>IF(E1220="Y",D1220,"")</f>
        <v/>
      </c>
    </row>
    <row r="1221">
      <c r="A1221" s="46" t="inlineStr">
        <is>
          <t>W25</t>
        </is>
      </c>
      <c r="B1221" s="46" t="n">
        <v>43</v>
      </c>
      <c r="C1221" s="47" t="n">
        <v>73</v>
      </c>
      <c r="D1221" s="47" t="n">
        <v>90.82</v>
      </c>
      <c r="E1221" s="46" t="str">
        <f>IF(C1221&lt;=72.0,"Y","N")</f>
        <v>N</v>
      </c>
      <c r="F1221" s="46" t="str">
        <f>IF(E1221="Y",D1221,"")</f>
        <v/>
      </c>
    </row>
    <row r="1222">
      <c r="A1222" s="46" t="inlineStr">
        <is>
          <t>W25</t>
        </is>
      </c>
      <c r="B1222" s="46" t="n">
        <v>44</v>
      </c>
      <c r="C1222" s="47" t="n">
        <v>73</v>
      </c>
      <c r="D1222" s="47" t="n">
        <v>90.07</v>
      </c>
      <c r="E1222" s="46" t="str">
        <f>IF(C1222&lt;=72.0,"Y","N")</f>
        <v>N</v>
      </c>
      <c r="F1222" s="46" t="str">
        <f>IF(E1222="Y",D1222,"")</f>
        <v/>
      </c>
    </row>
    <row r="1223">
      <c r="A1223" s="46" t="inlineStr">
        <is>
          <t>W25</t>
        </is>
      </c>
      <c r="B1223" s="46" t="n">
        <v>45</v>
      </c>
      <c r="C1223" s="47" t="n">
        <v>73</v>
      </c>
      <c r="D1223" s="47" t="n">
        <v>91.46</v>
      </c>
      <c r="E1223" s="46" t="str">
        <f>IF(C1223&lt;=72.0,"Y","N")</f>
        <v>N</v>
      </c>
      <c r="F1223" s="46" t="str">
        <f>IF(E1223="Y",D1223,"")</f>
        <v/>
      </c>
    </row>
    <row r="1224">
      <c r="A1224" s="46" t="inlineStr">
        <is>
          <t>W25</t>
        </is>
      </c>
      <c r="B1224" s="46" t="n">
        <v>46</v>
      </c>
      <c r="C1224" s="47" t="n">
        <v>73</v>
      </c>
      <c r="D1224" s="47" t="n">
        <v>90.27</v>
      </c>
      <c r="E1224" s="46" t="str">
        <f>IF(C1224&lt;=72.0,"Y","N")</f>
        <v>N</v>
      </c>
      <c r="F1224" s="46" t="str">
        <f>IF(E1224="Y",D1224,"")</f>
        <v/>
      </c>
    </row>
    <row r="1225">
      <c r="A1225" s="46" t="inlineStr">
        <is>
          <t>W25</t>
        </is>
      </c>
      <c r="B1225" s="46" t="n">
        <v>47</v>
      </c>
      <c r="C1225" s="47" t="n">
        <v>73</v>
      </c>
      <c r="D1225" s="47" t="n">
        <v>91.51</v>
      </c>
      <c r="E1225" s="46" t="str">
        <f>IF(C1225&lt;=72.0,"Y","N")</f>
        <v>N</v>
      </c>
      <c r="F1225" s="46" t="str">
        <f>IF(E1225="Y",D1225,"")</f>
        <v/>
      </c>
    </row>
    <row r="1226">
      <c r="A1226" s="46" t="inlineStr">
        <is>
          <t>W25</t>
        </is>
      </c>
      <c r="B1226" s="46" t="n">
        <v>48</v>
      </c>
      <c r="C1226" s="47" t="n">
        <v>73</v>
      </c>
      <c r="D1226" s="47" t="n">
        <v>91.16</v>
      </c>
      <c r="E1226" s="46" t="str">
        <f>IF(C1226&lt;=72.0,"Y","N")</f>
        <v>N</v>
      </c>
      <c r="F1226" s="46" t="str">
        <f>IF(E1226="Y",D1226,"")</f>
        <v/>
      </c>
    </row>
    <row r="1227">
      <c r="A1227" s="46" t="inlineStr">
        <is>
          <t>W25</t>
        </is>
      </c>
      <c r="B1227" s="46" t="n">
        <v>49</v>
      </c>
      <c r="C1227" s="47" t="n">
        <v>73</v>
      </c>
      <c r="D1227" s="47" t="n">
        <v>90.07</v>
      </c>
      <c r="E1227" s="46" t="str">
        <f>IF(C1227&lt;=72.0,"Y","N")</f>
        <v>N</v>
      </c>
      <c r="F1227" s="46" t="str">
        <f>IF(E1227="Y",D1227,"")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Metrology</dc:creator>
  <dc:title xmlns:dc="http://purl.org/dc/elements/1.1/">Lot L7734-02 Wafer Analysis</dc:title>
  <dcterms:created xmlns:dcterms="http://purl.org/dc/terms/" xmlns:xsi="http://www.w3.org/2001/XMLSchema-instance" xsi:type="dcterms:W3CDTF">2026-07-19T02:08:47Z</dcterms:created>
  <dcterms:modified xmlns:dcterms="http://purl.org/dc/terms/" xmlns:xsi="http://www.w3.org/2001/XMLSchema-instance" xsi:type="dcterms:W3CDTF">2026-07-19T04:11:22Z</dcterms:modified>
  <cp:lastModifiedBy>Roman Snegach</cp:lastModifiedBy>
</cp:coreProperties>
</file>