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_Summary" sheetId="1" state="visible" r:id="rId1"/>
    <sheet xmlns:r="http://schemas.openxmlformats.org/officeDocument/2006/relationships" name="Per_Wafer" sheetId="2" state="visible" r:id="rId2"/>
    <sheet xmlns:r="http://schemas.openxmlformats.org/officeDocument/2006/relationships" name="Wafer_Map" sheetId="3" state="visible" r:id="rId3"/>
    <sheet xmlns:r="http://schemas.openxmlformats.org/officeDocument/2006/relationships" name="Site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5324B"/>
      <sz val="14"/>
    </font>
    <font>
      <name val="Calibri"/>
      <i val="1"/>
      <color rgb="005A6472"/>
      <sz val="9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15324B"/>
      <sz val="11"/>
    </font>
    <font>
      <name val="Consolas"/>
      <color rgb="001A1A1A"/>
      <sz val="9"/>
    </font>
    <font>
      <name val="Calibri"/>
      <b val="1"/>
      <color rgb="001A1A1A"/>
      <sz val="7"/>
    </font>
    <font>
      <name val="Calibri"/>
      <color rgb="001A1A1A"/>
      <sz val="7"/>
    </font>
  </fonts>
  <fills count="8">
    <fill>
      <patternFill/>
    </fill>
    <fill>
      <patternFill patternType="gray125"/>
    </fill>
    <fill>
      <patternFill patternType="solid">
        <fgColor rgb="0015324B"/>
      </patternFill>
    </fill>
    <fill>
      <patternFill patternType="solid">
        <fgColor rgb="00C9E6D4"/>
      </patternFill>
    </fill>
    <fill>
      <patternFill patternType="solid">
        <fgColor rgb="00FBE8C8"/>
      </patternFill>
    </fill>
    <fill>
      <patternFill patternType="solid">
        <fgColor rgb="00EAF0F4"/>
      </patternFill>
    </fill>
    <fill>
      <patternFill patternType="solid">
        <fgColor rgb="00F5CBC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3CDD6"/>
      </left>
      <right style="thin">
        <color rgb="00C3CDD6"/>
      </right>
      <top style="thin">
        <color rgb="00C3CDD6"/>
      </top>
      <bottom style="thin">
        <color rgb="00C3CDD6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pivotButton="0" quotePrefix="0" xfId="0"/>
    <xf numFmtId="0" fontId="6" fillId="3" borderId="1" applyAlignment="1" pivotButton="0" quotePrefix="0" xfId="0">
      <alignment vertical="center"/>
    </xf>
    <xf numFmtId="0" fontId="2" fillId="0" borderId="1" pivotButton="0" quotePrefix="0" xfId="0"/>
    <xf numFmtId="0" fontId="4" fillId="4" borderId="1" pivotButton="0" quotePrefix="0" xfId="0"/>
    <xf numFmtId="1" fontId="7" fillId="4" borderId="1" applyAlignment="1" pivotButton="0" quotePrefix="0" xfId="0">
      <alignment horizontal="center"/>
    </xf>
    <xf numFmtId="2" fontId="7" fillId="4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0" fontId="4" fillId="0" borderId="1" pivotButton="0" quotePrefix="0" xfId="0"/>
    <xf numFmtId="1" fontId="7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4" fillId="5" borderId="1" pivotButton="0" quotePrefix="0" xfId="0"/>
    <xf numFmtId="0" fontId="0" fillId="5" borderId="1" pivotButton="0" quotePrefix="0" xfId="0"/>
    <xf numFmtId="2" fontId="4" fillId="5" borderId="1" pivotButton="0" quotePrefix="0" xfId="0"/>
    <xf numFmtId="164" fontId="4" fillId="5" borderId="1" pivotButton="0" quotePrefix="0" xfId="0"/>
    <xf numFmtId="0" fontId="9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0" borderId="0" pivotButton="0" quotePrefix="0" xfId="0"/>
    <xf numFmtId="2" fontId="7" fillId="0" borderId="0" pivotButton="0" quotePrefix="0" xfId="0"/>
    <xf numFmtId="0" fontId="7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0" customWidth="1" min="4" max="4"/>
  </cols>
  <sheetData>
    <row r="1">
      <c r="A1" s="1" t="inlineStr">
        <is>
          <t>Lot L7734-02 - Sheet Resistance Analysis</t>
        </is>
      </c>
    </row>
    <row r="2" ht="30" customHeight="1">
      <c r="A2" s="2" t="inlineStr">
        <is>
          <t>RTA anneal Rs uniformity and yield. Statistics computed on included sites only (edge exclusion r &gt; 72.0 mm applied) after resolving retests (latest timestamp per site). Rs in ohm/sq.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Criterion</t>
        </is>
      </c>
      <c r="D4" s="3" t="inlineStr">
        <is>
          <t>Verdict</t>
        </is>
      </c>
    </row>
    <row r="5">
      <c r="A5" s="4" t="inlineStr">
        <is>
          <t>Wafers in lot</t>
        </is>
      </c>
      <c r="B5" s="5" t="inlineStr">
        <is>
          <t>25</t>
        </is>
      </c>
      <c r="C5" s="6" t="inlineStr"/>
      <c r="D5" s="7" t="n"/>
    </row>
    <row r="6">
      <c r="A6" s="5" t="inlineStr">
        <is>
          <t>Sites per wafer (total / included)</t>
        </is>
      </c>
      <c r="B6" s="5" t="inlineStr">
        <is>
          <t>49 / 33</t>
        </is>
      </c>
      <c r="C6" s="6" t="inlineStr">
        <is>
          <t>16 edge-excluded</t>
        </is>
      </c>
      <c r="D6" s="7" t="n"/>
    </row>
    <row r="7">
      <c r="A7" s="5" t="inlineStr">
        <is>
          <t>Lot mean Rs (ohm/sq)</t>
        </is>
      </c>
      <c r="B7" s="5" t="inlineStr">
        <is>
          <t>85.57</t>
        </is>
      </c>
      <c r="C7" s="6" t="inlineStr">
        <is>
          <t>target 85</t>
        </is>
      </c>
      <c r="D7" s="7" t="n"/>
    </row>
    <row r="8">
      <c r="A8" s="5" t="inlineStr">
        <is>
          <t>Wafer-to-wafer W2W (%)</t>
        </is>
      </c>
      <c r="B8" s="5" t="inlineStr">
        <is>
          <t>1.69</t>
        </is>
      </c>
      <c r="C8" s="6" t="inlineStr">
        <is>
          <t>&lt;= 3.00 %</t>
        </is>
      </c>
      <c r="D8" s="8" t="str">
        <f>IF(VALUE(LEFT(B8,FIND(" ",B8&amp;" ")-1))&lt;=3,"PASS","FAIL")</f>
        <v>PASS</v>
      </c>
    </row>
    <row r="9">
      <c r="A9" s="5" t="inlineStr">
        <is>
          <t>Max WIW nonuniformity (%)</t>
        </is>
      </c>
      <c r="B9" s="5" t="inlineStr">
        <is>
          <t>4.30</t>
        </is>
      </c>
      <c r="C9" s="6" t="inlineStr">
        <is>
          <t>&lt;= 5.00 % each wafer</t>
        </is>
      </c>
      <c r="D9" s="8" t="str">
        <f>IF(VALUE(B9)&lt;=5,"PASS","FAIL")</f>
        <v>PASS</v>
      </c>
    </row>
    <row r="10">
      <c r="A10" s="5" t="inlineStr">
        <is>
          <t>Lot yield (included sites in spec)</t>
        </is>
      </c>
      <c r="B10" s="5" t="inlineStr">
        <is>
          <t>96.00 %</t>
        </is>
      </c>
      <c r="C10" s="6" t="inlineStr">
        <is>
          <t>&gt;= 95.00 %</t>
        </is>
      </c>
      <c r="D10" s="8" t="str">
        <f>IF(VALUE(LEFT(B10,FIND(" ",B10&amp;" ")-1))&gt;=95,"PASS","FAIL")</f>
        <v>PASS</v>
      </c>
    </row>
    <row r="11">
      <c r="A11" s="5" t="inlineStr">
        <is>
          <t>Total included site measurements</t>
        </is>
      </c>
      <c r="B11" s="5" t="inlineStr">
        <is>
          <t>825</t>
        </is>
      </c>
      <c r="C11" s="6" t="inlineStr">
        <is>
          <t>25 x 33</t>
        </is>
      </c>
      <c r="D11" s="7" t="n"/>
    </row>
    <row r="12">
      <c r="A12" s="5" t="inlineStr">
        <is>
          <t>Failing site measurements</t>
        </is>
      </c>
      <c r="B12" s="5" t="inlineStr">
        <is>
          <t>33</t>
        </is>
      </c>
      <c r="C12" s="6" t="inlineStr"/>
      <c r="D12" s="7" t="n"/>
    </row>
    <row r="14">
      <c r="A14" s="9" t="inlineStr">
        <is>
          <t>Lot disposition</t>
        </is>
      </c>
      <c r="B14" s="10" t="str">
        <f>IF(AND(D8="PASS",D9="PASS",D10="PASS"),"CONTINUE","HOLD")</f>
        <v>CONTINUE</v>
      </c>
      <c r="C14" s="11" t="inlineStr">
        <is>
          <t>meets all 3 criteria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  <col width="7" customWidth="1" min="8" max="8"/>
  </cols>
  <sheetData>
    <row r="1">
      <c r="A1" s="1" t="inlineStr">
        <is>
          <t>Per-Wafer Statistics (included sites)</t>
        </is>
      </c>
    </row>
    <row r="2">
      <c r="A2" s="2" t="inlineStr">
        <is>
          <t>WIW NU = (max - min) / (2 x mean) x 100. Yield = included sites within spec / included sites.</t>
        </is>
      </c>
    </row>
    <row r="4">
      <c r="A4" s="3" t="inlineStr">
        <is>
          <t>Wafer</t>
        </is>
      </c>
      <c r="B4" s="3" t="inlineStr">
        <is>
          <t>n incl</t>
        </is>
      </c>
      <c r="C4" s="3" t="inlineStr">
        <is>
          <t>Mean</t>
        </is>
      </c>
      <c r="D4" s="3" t="inlineStr">
        <is>
          <t>Min</t>
        </is>
      </c>
      <c r="E4" s="3" t="inlineStr">
        <is>
          <t>Max</t>
        </is>
      </c>
      <c r="F4" s="3" t="inlineStr">
        <is>
          <t>WIW NU %</t>
        </is>
      </c>
      <c r="G4" s="3" t="inlineStr">
        <is>
          <t>Yield %</t>
        </is>
      </c>
      <c r="H4" s="3" t="inlineStr">
        <is>
          <t>Fails</t>
        </is>
      </c>
    </row>
    <row r="5">
      <c r="A5" s="12" t="inlineStr">
        <is>
          <t>W01</t>
        </is>
      </c>
      <c r="B5" s="13" t="n">
        <v>33</v>
      </c>
      <c r="C5" s="14" t="n">
        <v>86.86</v>
      </c>
      <c r="D5" s="14" t="n">
        <v>83.72</v>
      </c>
      <c r="E5" s="14" t="n">
        <v>90.12</v>
      </c>
      <c r="F5" s="14" t="n">
        <v>3.68</v>
      </c>
      <c r="G5" s="15" t="n">
        <v>81.82</v>
      </c>
      <c r="H5" s="13" t="n">
        <v>6</v>
      </c>
    </row>
    <row r="6">
      <c r="A6" s="16" t="inlineStr">
        <is>
          <t>W02</t>
        </is>
      </c>
      <c r="B6" s="17" t="n">
        <v>33</v>
      </c>
      <c r="C6" s="18" t="n">
        <v>85.85</v>
      </c>
      <c r="D6" s="18" t="n">
        <v>82</v>
      </c>
      <c r="E6" s="18" t="n">
        <v>89.18</v>
      </c>
      <c r="F6" s="18" t="n">
        <v>4.18</v>
      </c>
      <c r="G6" s="19" t="n">
        <v>100</v>
      </c>
      <c r="H6" s="17" t="n">
        <v>0</v>
      </c>
    </row>
    <row r="7">
      <c r="A7" s="16" t="inlineStr">
        <is>
          <t>W03</t>
        </is>
      </c>
      <c r="B7" s="17" t="n">
        <v>33</v>
      </c>
      <c r="C7" s="18" t="n">
        <v>85.8</v>
      </c>
      <c r="D7" s="18" t="n">
        <v>81.66</v>
      </c>
      <c r="E7" s="18" t="n">
        <v>88.86</v>
      </c>
      <c r="F7" s="18" t="n">
        <v>4.2</v>
      </c>
      <c r="G7" s="19" t="n">
        <v>100</v>
      </c>
      <c r="H7" s="17" t="n">
        <v>0</v>
      </c>
    </row>
    <row r="8">
      <c r="A8" s="16" t="inlineStr">
        <is>
          <t>W04</t>
        </is>
      </c>
      <c r="B8" s="17" t="n">
        <v>33</v>
      </c>
      <c r="C8" s="18" t="n">
        <v>85.54</v>
      </c>
      <c r="D8" s="18" t="n">
        <v>82.15</v>
      </c>
      <c r="E8" s="18" t="n">
        <v>88.84</v>
      </c>
      <c r="F8" s="18" t="n">
        <v>3.91</v>
      </c>
      <c r="G8" s="19" t="n">
        <v>100</v>
      </c>
      <c r="H8" s="17" t="n">
        <v>0</v>
      </c>
    </row>
    <row r="9">
      <c r="A9" s="16" t="inlineStr">
        <is>
          <t>W05</t>
        </is>
      </c>
      <c r="B9" s="17" t="n">
        <v>33</v>
      </c>
      <c r="C9" s="18" t="n">
        <v>85.7</v>
      </c>
      <c r="D9" s="18" t="n">
        <v>81.57</v>
      </c>
      <c r="E9" s="18" t="n">
        <v>88.94</v>
      </c>
      <c r="F9" s="18" t="n">
        <v>4.3</v>
      </c>
      <c r="G9" s="19" t="n">
        <v>100</v>
      </c>
      <c r="H9" s="17" t="n">
        <v>0</v>
      </c>
    </row>
    <row r="10">
      <c r="A10" s="16" t="inlineStr">
        <is>
          <t>W06</t>
        </is>
      </c>
      <c r="B10" s="17" t="n">
        <v>33</v>
      </c>
      <c r="C10" s="18" t="n">
        <v>85.13</v>
      </c>
      <c r="D10" s="18" t="n">
        <v>81.36</v>
      </c>
      <c r="E10" s="18" t="n">
        <v>88.01</v>
      </c>
      <c r="F10" s="18" t="n">
        <v>3.91</v>
      </c>
      <c r="G10" s="19" t="n">
        <v>100</v>
      </c>
      <c r="H10" s="17" t="n">
        <v>0</v>
      </c>
    </row>
    <row r="11">
      <c r="A11" s="12" t="inlineStr">
        <is>
          <t>W07</t>
        </is>
      </c>
      <c r="B11" s="13" t="n">
        <v>33</v>
      </c>
      <c r="C11" s="14" t="n">
        <v>86.91</v>
      </c>
      <c r="D11" s="14" t="n">
        <v>83.22</v>
      </c>
      <c r="E11" s="14" t="n">
        <v>90.32</v>
      </c>
      <c r="F11" s="14" t="n">
        <v>4.08</v>
      </c>
      <c r="G11" s="15" t="n">
        <v>75.76</v>
      </c>
      <c r="H11" s="13" t="n">
        <v>8</v>
      </c>
    </row>
    <row r="12">
      <c r="A12" s="16" t="inlineStr">
        <is>
          <t>W08</t>
        </is>
      </c>
      <c r="B12" s="17" t="n">
        <v>33</v>
      </c>
      <c r="C12" s="18" t="n">
        <v>85.76</v>
      </c>
      <c r="D12" s="18" t="n">
        <v>81.98</v>
      </c>
      <c r="E12" s="18" t="n">
        <v>89.16</v>
      </c>
      <c r="F12" s="18" t="n">
        <v>4.19</v>
      </c>
      <c r="G12" s="19" t="n">
        <v>100</v>
      </c>
      <c r="H12" s="17" t="n">
        <v>0</v>
      </c>
    </row>
    <row r="13">
      <c r="A13" s="12" t="inlineStr">
        <is>
          <t>W09</t>
        </is>
      </c>
      <c r="B13" s="13" t="n">
        <v>33</v>
      </c>
      <c r="C13" s="14" t="n">
        <v>84.72</v>
      </c>
      <c r="D13" s="14" t="n">
        <v>80.64</v>
      </c>
      <c r="E13" s="14" t="n">
        <v>87.9</v>
      </c>
      <c r="F13" s="14" t="n">
        <v>4.28</v>
      </c>
      <c r="G13" s="15" t="n">
        <v>96.97</v>
      </c>
      <c r="H13" s="13" t="n">
        <v>1</v>
      </c>
    </row>
    <row r="14">
      <c r="A14" s="12" t="inlineStr">
        <is>
          <t>W10</t>
        </is>
      </c>
      <c r="B14" s="13" t="n">
        <v>33</v>
      </c>
      <c r="C14" s="14" t="n">
        <v>86.35</v>
      </c>
      <c r="D14" s="14" t="n">
        <v>82.45</v>
      </c>
      <c r="E14" s="14" t="n">
        <v>89.53</v>
      </c>
      <c r="F14" s="14" t="n">
        <v>4.1</v>
      </c>
      <c r="G14" s="15" t="n">
        <v>87.88</v>
      </c>
      <c r="H14" s="13" t="n">
        <v>4</v>
      </c>
    </row>
    <row r="15">
      <c r="A15" s="16" t="inlineStr">
        <is>
          <t>W11</t>
        </is>
      </c>
      <c r="B15" s="17" t="n">
        <v>33</v>
      </c>
      <c r="C15" s="18" t="n">
        <v>85.19</v>
      </c>
      <c r="D15" s="18" t="n">
        <v>82.15</v>
      </c>
      <c r="E15" s="18" t="n">
        <v>88.35</v>
      </c>
      <c r="F15" s="18" t="n">
        <v>3.64</v>
      </c>
      <c r="G15" s="19" t="n">
        <v>100</v>
      </c>
      <c r="H15" s="17" t="n">
        <v>0</v>
      </c>
    </row>
    <row r="16">
      <c r="A16" s="16" t="inlineStr">
        <is>
          <t>W12</t>
        </is>
      </c>
      <c r="B16" s="17" t="n">
        <v>33</v>
      </c>
      <c r="C16" s="18" t="n">
        <v>85.32</v>
      </c>
      <c r="D16" s="18" t="n">
        <v>81.33</v>
      </c>
      <c r="E16" s="18" t="n">
        <v>88.42</v>
      </c>
      <c r="F16" s="18" t="n">
        <v>4.16</v>
      </c>
      <c r="G16" s="19" t="n">
        <v>100</v>
      </c>
      <c r="H16" s="17" t="n">
        <v>0</v>
      </c>
    </row>
    <row r="17">
      <c r="A17" s="12" t="inlineStr">
        <is>
          <t>W13</t>
        </is>
      </c>
      <c r="B17" s="13" t="n">
        <v>33</v>
      </c>
      <c r="C17" s="14" t="n">
        <v>86.98</v>
      </c>
      <c r="D17" s="14" t="n">
        <v>83.07</v>
      </c>
      <c r="E17" s="14" t="n">
        <v>90.46</v>
      </c>
      <c r="F17" s="14" t="n">
        <v>4.25</v>
      </c>
      <c r="G17" s="15" t="n">
        <v>78.79</v>
      </c>
      <c r="H17" s="13" t="n">
        <v>7</v>
      </c>
    </row>
    <row r="18">
      <c r="A18" s="16" t="inlineStr">
        <is>
          <t>W14</t>
        </is>
      </c>
      <c r="B18" s="17" t="n">
        <v>33</v>
      </c>
      <c r="C18" s="18" t="n">
        <v>85.89</v>
      </c>
      <c r="D18" s="18" t="n">
        <v>82.45</v>
      </c>
      <c r="E18" s="18" t="n">
        <v>89.15</v>
      </c>
      <c r="F18" s="18" t="n">
        <v>3.9</v>
      </c>
      <c r="G18" s="19" t="n">
        <v>100</v>
      </c>
      <c r="H18" s="17" t="n">
        <v>0</v>
      </c>
    </row>
    <row r="19">
      <c r="A19" s="12" t="inlineStr">
        <is>
          <t>W15</t>
        </is>
      </c>
      <c r="B19" s="13" t="n">
        <v>33</v>
      </c>
      <c r="C19" s="14" t="n">
        <v>84.46</v>
      </c>
      <c r="D19" s="14" t="n">
        <v>80.7</v>
      </c>
      <c r="E19" s="14" t="n">
        <v>87.76</v>
      </c>
      <c r="F19" s="14" t="n">
        <v>4.18</v>
      </c>
      <c r="G19" s="15" t="n">
        <v>96.97</v>
      </c>
      <c r="H19" s="13" t="n">
        <v>1</v>
      </c>
    </row>
    <row r="20">
      <c r="A20" s="16" t="inlineStr">
        <is>
          <t>W16</t>
        </is>
      </c>
      <c r="B20" s="17" t="n">
        <v>33</v>
      </c>
      <c r="C20" s="18" t="n">
        <v>85.36</v>
      </c>
      <c r="D20" s="18" t="n">
        <v>82.02</v>
      </c>
      <c r="E20" s="18" t="n">
        <v>88.58</v>
      </c>
      <c r="F20" s="18" t="n">
        <v>3.84</v>
      </c>
      <c r="G20" s="19" t="n">
        <v>100</v>
      </c>
      <c r="H20" s="17" t="n">
        <v>0</v>
      </c>
    </row>
    <row r="21">
      <c r="A21" s="16" t="inlineStr">
        <is>
          <t>W17</t>
        </is>
      </c>
      <c r="B21" s="17" t="n">
        <v>33</v>
      </c>
      <c r="C21" s="18" t="n">
        <v>85.83</v>
      </c>
      <c r="D21" s="18" t="n">
        <v>82.43</v>
      </c>
      <c r="E21" s="18" t="n">
        <v>89</v>
      </c>
      <c r="F21" s="18" t="n">
        <v>3.83</v>
      </c>
      <c r="G21" s="19" t="n">
        <v>100</v>
      </c>
      <c r="H21" s="17" t="n">
        <v>0</v>
      </c>
    </row>
    <row r="22">
      <c r="A22" s="16" t="inlineStr">
        <is>
          <t>W18</t>
        </is>
      </c>
      <c r="B22" s="17" t="n">
        <v>33</v>
      </c>
      <c r="C22" s="18" t="n">
        <v>85.32</v>
      </c>
      <c r="D22" s="18" t="n">
        <v>81.59</v>
      </c>
      <c r="E22" s="18" t="n">
        <v>88.58</v>
      </c>
      <c r="F22" s="18" t="n">
        <v>4.1</v>
      </c>
      <c r="G22" s="19" t="n">
        <v>100</v>
      </c>
      <c r="H22" s="17" t="n">
        <v>0</v>
      </c>
    </row>
    <row r="23">
      <c r="A23" s="12" t="inlineStr">
        <is>
          <t>W19</t>
        </is>
      </c>
      <c r="B23" s="13" t="n">
        <v>33</v>
      </c>
      <c r="C23" s="14" t="n">
        <v>84.1</v>
      </c>
      <c r="D23" s="14" t="n">
        <v>80.49</v>
      </c>
      <c r="E23" s="14" t="n">
        <v>87.44</v>
      </c>
      <c r="F23" s="14" t="n">
        <v>4.13</v>
      </c>
      <c r="G23" s="15" t="n">
        <v>96.97</v>
      </c>
      <c r="H23" s="13" t="n">
        <v>1</v>
      </c>
    </row>
    <row r="24">
      <c r="A24" s="16" t="inlineStr">
        <is>
          <t>W20</t>
        </is>
      </c>
      <c r="B24" s="17" t="n">
        <v>33</v>
      </c>
      <c r="C24" s="18" t="n">
        <v>84.56</v>
      </c>
      <c r="D24" s="18" t="n">
        <v>81.53</v>
      </c>
      <c r="E24" s="18" t="n">
        <v>87.76</v>
      </c>
      <c r="F24" s="18" t="n">
        <v>3.68</v>
      </c>
      <c r="G24" s="19" t="n">
        <v>100</v>
      </c>
      <c r="H24" s="17" t="n">
        <v>0</v>
      </c>
    </row>
    <row r="25">
      <c r="A25" s="16" t="inlineStr">
        <is>
          <t>W21</t>
        </is>
      </c>
      <c r="B25" s="17" t="n">
        <v>33</v>
      </c>
      <c r="C25" s="18" t="n">
        <v>85.9</v>
      </c>
      <c r="D25" s="18" t="n">
        <v>82.93</v>
      </c>
      <c r="E25" s="18" t="n">
        <v>89.05</v>
      </c>
      <c r="F25" s="18" t="n">
        <v>3.56</v>
      </c>
      <c r="G25" s="19" t="n">
        <v>100</v>
      </c>
      <c r="H25" s="17" t="n">
        <v>0</v>
      </c>
    </row>
    <row r="26">
      <c r="A26" s="16" t="inlineStr">
        <is>
          <t>W22</t>
        </is>
      </c>
      <c r="B26" s="17" t="n">
        <v>33</v>
      </c>
      <c r="C26" s="18" t="n">
        <v>84.52</v>
      </c>
      <c r="D26" s="18" t="n">
        <v>80.95</v>
      </c>
      <c r="E26" s="18" t="n">
        <v>87.8</v>
      </c>
      <c r="F26" s="18" t="n">
        <v>4.05</v>
      </c>
      <c r="G26" s="19" t="n">
        <v>100</v>
      </c>
      <c r="H26" s="17" t="n">
        <v>0</v>
      </c>
    </row>
    <row r="27">
      <c r="A27" s="16" t="inlineStr">
        <is>
          <t>W23</t>
        </is>
      </c>
      <c r="B27" s="17" t="n">
        <v>33</v>
      </c>
      <c r="C27" s="18" t="n">
        <v>85.67</v>
      </c>
      <c r="D27" s="18" t="n">
        <v>81.84</v>
      </c>
      <c r="E27" s="18" t="n">
        <v>89.04</v>
      </c>
      <c r="F27" s="18" t="n">
        <v>4.2</v>
      </c>
      <c r="G27" s="19" t="n">
        <v>100</v>
      </c>
      <c r="H27" s="17" t="n">
        <v>0</v>
      </c>
    </row>
    <row r="28">
      <c r="A28" s="12" t="inlineStr">
        <is>
          <t>W24</t>
        </is>
      </c>
      <c r="B28" s="13" t="n">
        <v>33</v>
      </c>
      <c r="C28" s="14" t="n">
        <v>86.87</v>
      </c>
      <c r="D28" s="14" t="n">
        <v>83.67</v>
      </c>
      <c r="E28" s="14" t="n">
        <v>89.95</v>
      </c>
      <c r="F28" s="14" t="n">
        <v>3.61</v>
      </c>
      <c r="G28" s="15" t="n">
        <v>84.85</v>
      </c>
      <c r="H28" s="13" t="n">
        <v>5</v>
      </c>
    </row>
    <row r="29">
      <c r="A29" s="16" t="inlineStr">
        <is>
          <t>W25</t>
        </is>
      </c>
      <c r="B29" s="17" t="n">
        <v>33</v>
      </c>
      <c r="C29" s="18" t="n">
        <v>84.67</v>
      </c>
      <c r="D29" s="18" t="n">
        <v>81.23</v>
      </c>
      <c r="E29" s="18" t="n">
        <v>87.73</v>
      </c>
      <c r="F29" s="18" t="n">
        <v>3.84</v>
      </c>
      <c r="G29" s="19" t="n">
        <v>100</v>
      </c>
      <c r="H29" s="17" t="n">
        <v>0</v>
      </c>
    </row>
    <row r="30">
      <c r="A30" s="20" t="inlineStr">
        <is>
          <t>LOT</t>
        </is>
      </c>
      <c r="B30" s="21" t="n"/>
      <c r="C30" s="22" t="n">
        <v>85.57</v>
      </c>
      <c r="D30" s="21" t="n"/>
      <c r="E30" s="21" t="n"/>
      <c r="F30" s="22" t="n">
        <v>4.3</v>
      </c>
      <c r="G30" s="23" t="n">
        <v>96</v>
      </c>
      <c r="H30" s="21" t="n"/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5.2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</cols>
  <sheetData>
    <row r="1">
      <c r="A1" s="1" t="inlineStr">
        <is>
          <t>Wafer Map - W01 (Rs bin by site)</t>
        </is>
      </c>
    </row>
    <row r="2" ht="30" customHeight="1">
      <c r="A2" s="2" t="inlineStr">
        <is>
          <t>Sites placed by polar coordinate. Green PASS (within 3% of target), amber WARN (in spec, 3-5% off), red FAIL (out of spec), grey EX = edge-excluded (not in statistics).</t>
        </is>
      </c>
    </row>
    <row r="4" ht="22" customHeight="1"/>
    <row r="5" ht="22" customHeight="1"/>
    <row r="6" ht="22" customHeight="1">
      <c r="H6" s="24" t="inlineStr">
        <is>
          <t>EX</t>
        </is>
      </c>
      <c r="J6" s="24" t="inlineStr">
        <is>
          <t>EX</t>
        </is>
      </c>
    </row>
    <row r="7" ht="22" customHeight="1">
      <c r="F7" s="24" t="inlineStr">
        <is>
          <t>EX</t>
        </is>
      </c>
      <c r="I7" s="25" t="inlineStr">
        <is>
          <t>89.8</t>
        </is>
      </c>
      <c r="L7" s="24" t="inlineStr">
        <is>
          <t>EX</t>
        </is>
      </c>
    </row>
    <row r="8" ht="22" customHeight="1">
      <c r="G8" s="25" t="inlineStr">
        <is>
          <t>89.5</t>
        </is>
      </c>
      <c r="K8" s="25" t="inlineStr">
        <is>
          <t>90.1</t>
        </is>
      </c>
    </row>
    <row r="9" ht="22" customHeight="1">
      <c r="D9" s="24" t="inlineStr">
        <is>
          <t>EX</t>
        </is>
      </c>
      <c r="H9" s="26" t="inlineStr">
        <is>
          <t>86.1</t>
        </is>
      </c>
      <c r="J9" s="26" t="inlineStr">
        <is>
          <t>86.2</t>
        </is>
      </c>
      <c r="N9" s="24" t="inlineStr">
        <is>
          <t>EX</t>
        </is>
      </c>
    </row>
    <row r="10" ht="22" customHeight="1">
      <c r="E10" s="25" t="inlineStr">
        <is>
          <t>90.1</t>
        </is>
      </c>
      <c r="G10" s="26" t="inlineStr">
        <is>
          <t>86.9</t>
        </is>
      </c>
      <c r="I10" s="26" t="inlineStr">
        <is>
          <t>84.7</t>
        </is>
      </c>
      <c r="K10" s="26" t="inlineStr">
        <is>
          <t>86.8</t>
        </is>
      </c>
      <c r="M10" s="27" t="inlineStr">
        <is>
          <t>88.9</t>
        </is>
      </c>
    </row>
    <row r="11" ht="22" customHeight="1">
      <c r="C11" s="24" t="inlineStr">
        <is>
          <t>EX</t>
        </is>
      </c>
      <c r="F11" s="26" t="inlineStr">
        <is>
          <t>86.6</t>
        </is>
      </c>
      <c r="H11" s="26" t="inlineStr">
        <is>
          <t>83.9</t>
        </is>
      </c>
      <c r="J11" s="26" t="inlineStr">
        <is>
          <t>84.5</t>
        </is>
      </c>
      <c r="L11" s="26" t="inlineStr">
        <is>
          <t>85.6</t>
        </is>
      </c>
      <c r="O11" s="24" t="inlineStr">
        <is>
          <t>EX</t>
        </is>
      </c>
    </row>
    <row r="12" ht="22" customHeight="1">
      <c r="D12" s="27" t="inlineStr">
        <is>
          <t>89.2</t>
        </is>
      </c>
      <c r="G12" s="26" t="inlineStr">
        <is>
          <t>83.7</t>
        </is>
      </c>
      <c r="I12" s="26" t="inlineStr">
        <is>
          <t>84.1</t>
        </is>
      </c>
      <c r="K12" s="26" t="inlineStr">
        <is>
          <t>84.9</t>
        </is>
      </c>
      <c r="N12" s="27" t="inlineStr">
        <is>
          <t>89.0</t>
        </is>
      </c>
    </row>
    <row r="13" ht="22" customHeight="1">
      <c r="C13" s="24" t="inlineStr">
        <is>
          <t>EX</t>
        </is>
      </c>
      <c r="F13" s="26" t="inlineStr">
        <is>
          <t>85.5</t>
        </is>
      </c>
      <c r="H13" s="26" t="inlineStr">
        <is>
          <t>84.8</t>
        </is>
      </c>
      <c r="J13" s="26" t="inlineStr">
        <is>
          <t>84.3</t>
        </is>
      </c>
      <c r="L13" s="26" t="inlineStr">
        <is>
          <t>86.6</t>
        </is>
      </c>
      <c r="O13" s="24" t="inlineStr">
        <is>
          <t>EX</t>
        </is>
      </c>
    </row>
    <row r="14" ht="22" customHeight="1">
      <c r="E14" s="27" t="inlineStr">
        <is>
          <t>88.7</t>
        </is>
      </c>
      <c r="G14" s="26" t="inlineStr">
        <is>
          <t>85.7</t>
        </is>
      </c>
      <c r="I14" s="26" t="inlineStr">
        <is>
          <t>84.2</t>
        </is>
      </c>
      <c r="K14" s="26" t="inlineStr">
        <is>
          <t>85.6</t>
        </is>
      </c>
      <c r="M14" s="27" t="inlineStr">
        <is>
          <t>88.7</t>
        </is>
      </c>
    </row>
    <row r="15" ht="22" customHeight="1">
      <c r="D15" s="24" t="inlineStr">
        <is>
          <t>EX</t>
        </is>
      </c>
      <c r="H15" s="26" t="inlineStr">
        <is>
          <t>86.3</t>
        </is>
      </c>
      <c r="J15" s="26" t="inlineStr">
        <is>
          <t>86.3</t>
        </is>
      </c>
      <c r="N15" s="24" t="inlineStr">
        <is>
          <t>EX</t>
        </is>
      </c>
    </row>
    <row r="16" ht="22" customHeight="1">
      <c r="G16" s="27" t="inlineStr">
        <is>
          <t>89.0</t>
        </is>
      </c>
      <c r="K16" s="25" t="inlineStr">
        <is>
          <t>90.1</t>
        </is>
      </c>
    </row>
    <row r="17" ht="22" customHeight="1">
      <c r="F17" s="24" t="inlineStr">
        <is>
          <t>EX</t>
        </is>
      </c>
      <c r="I17" s="25" t="inlineStr">
        <is>
          <t>90.0</t>
        </is>
      </c>
      <c r="L17" s="24" t="inlineStr">
        <is>
          <t>EX</t>
        </is>
      </c>
    </row>
    <row r="18" ht="22" customHeight="1">
      <c r="H18" s="24" t="inlineStr">
        <is>
          <t>EX</t>
        </is>
      </c>
      <c r="J18" s="24" t="inlineStr">
        <is>
          <t>EX</t>
        </is>
      </c>
    </row>
    <row r="19" ht="22" customHeight="1"/>
    <row r="20">
      <c r="B20" s="28" t="inlineStr">
        <is>
          <t>W01 mean 86.86  WIW 3.68%  yield 81.8%</t>
        </is>
      </c>
    </row>
    <row r="21">
      <c r="B21" s="29" t="inlineStr">
        <is>
          <t>PASS</t>
        </is>
      </c>
    </row>
    <row r="22">
      <c r="B22" s="30" t="inlineStr">
        <is>
          <t>WARN</t>
        </is>
      </c>
    </row>
    <row r="23">
      <c r="B23" s="31" t="inlineStr">
        <is>
          <t>FAIL</t>
        </is>
      </c>
    </row>
    <row r="24">
      <c r="B24" s="32" t="inlineStr">
        <is>
          <t>EX (edge-excluded)</t>
        </is>
      </c>
    </row>
  </sheetData>
  <mergeCells count="1"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1" customWidth="1" min="4" max="4"/>
    <col width="11" customWidth="1" min="5" max="5"/>
    <col width="10" customWidth="1" min="6" max="6"/>
    <col width="8" customWidth="1" min="7" max="7"/>
    <col width="9" customWidth="1" min="8" max="8"/>
    <col width="10" customWidth="1" min="10" max="10"/>
    <col width="9" customWidth="1" min="11" max="11"/>
  </cols>
  <sheetData>
    <row r="1">
      <c r="A1" s="1" t="inlineStr">
        <is>
          <t>Site Detail - W01</t>
        </is>
      </c>
    </row>
    <row r="2" ht="28" customHeight="1">
      <c r="A2" s="2" t="inlineStr">
        <is>
          <t>Per-site Rs for the mapped wafer. Radius, included flag, bin, and in-spec are computed live from the coordinates and the Rs reading against the spec limits. Excluded sites are not in the wafer statistics.</t>
        </is>
      </c>
    </row>
    <row r="4">
      <c r="A4" s="3" t="inlineStr">
        <is>
          <t>Site</t>
        </is>
      </c>
      <c r="B4" s="3" t="inlineStr">
        <is>
          <t>x_mm</t>
        </is>
      </c>
      <c r="C4" s="3" t="inlineStr">
        <is>
          <t>y_mm</t>
        </is>
      </c>
      <c r="D4" s="3" t="inlineStr">
        <is>
          <t>Radius mm</t>
        </is>
      </c>
      <c r="E4" s="3" t="inlineStr">
        <is>
          <t>Rs ohm/sq</t>
        </is>
      </c>
      <c r="F4" s="3" t="inlineStr">
        <is>
          <t>Included</t>
        </is>
      </c>
      <c r="G4" s="3" t="inlineStr">
        <is>
          <t>Bin</t>
        </is>
      </c>
      <c r="H4" s="3" t="inlineStr">
        <is>
          <t>In spec</t>
        </is>
      </c>
      <c r="J4" s="2" t="inlineStr">
        <is>
          <t>constants</t>
        </is>
      </c>
    </row>
    <row r="5">
      <c r="A5" s="33" t="n">
        <v>1</v>
      </c>
      <c r="B5" s="18" t="n">
        <v>0</v>
      </c>
      <c r="C5" s="18" t="n">
        <v>0</v>
      </c>
      <c r="D5" s="18">
        <f>ROUND(SQRT(B5^2+C5^2),2)</f>
        <v>0</v>
      </c>
      <c r="E5" s="18" t="n">
        <v>84.09</v>
      </c>
      <c r="F5" s="33" t="str">
        <f>IF(D5&lt;=$K$9,"Y","N")</f>
        <v>Y</v>
      </c>
      <c r="G5" s="34" t="str">
        <f>IF(F5="N","-",IF(OR(E5&lt;$K$5,E5&gt;$K$6),"FAIL",IF(OR(E5&lt;$K$7,E5&gt;$K$8),"WARN","PASS")))</f>
        <v>PASS</v>
      </c>
      <c r="H5" s="33" t="str">
        <f>IF(F5="N","-",IF(AND(E5&gt;=$K$5,E5&lt;=$K$6),"Y","N"))</f>
        <v>Y</v>
      </c>
      <c r="J5" s="35" t="inlineStr">
        <is>
          <t>LSL</t>
        </is>
      </c>
      <c r="K5" s="36" t="n">
        <v>80.75</v>
      </c>
    </row>
    <row r="6">
      <c r="A6" s="33" t="n">
        <v>2</v>
      </c>
      <c r="B6" s="18" t="n">
        <v>22</v>
      </c>
      <c r="C6" s="18" t="n">
        <v>0</v>
      </c>
      <c r="D6" s="18">
        <f>ROUND(SQRT(B6^2+C6^2),2)</f>
        <v>22</v>
      </c>
      <c r="E6" s="18" t="n">
        <v>84.93</v>
      </c>
      <c r="F6" s="33" t="str">
        <f>IF(D6&lt;=$K$9,"Y","N")</f>
        <v>Y</v>
      </c>
      <c r="G6" s="34" t="str">
        <f>IF(F6="N","-",IF(OR(E6&lt;$K$5,E6&gt;$K$6),"FAIL",IF(OR(E6&lt;$K$7,E6&gt;$K$8),"WARN","PASS")))</f>
        <v>PASS</v>
      </c>
      <c r="H6" s="33" t="str">
        <f>IF(F6="N","-",IF(AND(E6&gt;=$K$5,E6&lt;=$K$6),"Y","N"))</f>
        <v>Y</v>
      </c>
      <c r="J6" s="35" t="inlineStr">
        <is>
          <t>USL</t>
        </is>
      </c>
      <c r="K6" s="36" t="n">
        <v>89.25</v>
      </c>
    </row>
    <row r="7">
      <c r="A7" s="33" t="n">
        <v>3</v>
      </c>
      <c r="B7" s="18" t="n">
        <v>15.56</v>
      </c>
      <c r="C7" s="18" t="n">
        <v>15.56</v>
      </c>
      <c r="D7" s="18">
        <f>ROUND(SQRT(B7^2+C7^2),2)</f>
        <v>22</v>
      </c>
      <c r="E7" s="18" t="n">
        <v>84.53</v>
      </c>
      <c r="F7" s="33" t="str">
        <f>IF(D7&lt;=$K$9,"Y","N")</f>
        <v>Y</v>
      </c>
      <c r="G7" s="34" t="str">
        <f>IF(F7="N","-",IF(OR(E7&lt;$K$5,E7&gt;$K$6),"FAIL",IF(OR(E7&lt;$K$7,E7&gt;$K$8),"WARN","PASS")))</f>
        <v>PASS</v>
      </c>
      <c r="H7" s="33" t="str">
        <f>IF(F7="N","-",IF(AND(E7&gt;=$K$5,E7&lt;=$K$6),"Y","N"))</f>
        <v>Y</v>
      </c>
      <c r="J7" s="35" t="inlineStr">
        <is>
          <t>warn_lo</t>
        </is>
      </c>
      <c r="K7" s="36" t="n">
        <v>82.45</v>
      </c>
    </row>
    <row r="8">
      <c r="A8" s="33" t="n">
        <v>4</v>
      </c>
      <c r="B8" s="18" t="n">
        <v>0</v>
      </c>
      <c r="C8" s="18" t="n">
        <v>22</v>
      </c>
      <c r="D8" s="18">
        <f>ROUND(SQRT(B8^2+C8^2),2)</f>
        <v>22</v>
      </c>
      <c r="E8" s="18" t="n">
        <v>84.66</v>
      </c>
      <c r="F8" s="33" t="str">
        <f>IF(D8&lt;=$K$9,"Y","N")</f>
        <v>Y</v>
      </c>
      <c r="G8" s="34" t="str">
        <f>IF(F8="N","-",IF(OR(E8&lt;$K$5,E8&gt;$K$6),"FAIL",IF(OR(E8&lt;$K$7,E8&gt;$K$8),"WARN","PASS")))</f>
        <v>PASS</v>
      </c>
      <c r="H8" s="33" t="str">
        <f>IF(F8="N","-",IF(AND(E8&gt;=$K$5,E8&lt;=$K$6),"Y","N"))</f>
        <v>Y</v>
      </c>
      <c r="J8" s="35" t="inlineStr">
        <is>
          <t>warn_hi</t>
        </is>
      </c>
      <c r="K8" s="36" t="n">
        <v>87.55</v>
      </c>
    </row>
    <row r="9">
      <c r="A9" s="33" t="n">
        <v>5</v>
      </c>
      <c r="B9" s="18" t="n">
        <v>-15.56</v>
      </c>
      <c r="C9" s="18" t="n">
        <v>15.56</v>
      </c>
      <c r="D9" s="18">
        <f>ROUND(SQRT(B9^2+C9^2),2)</f>
        <v>22</v>
      </c>
      <c r="E9" s="18" t="n">
        <v>83.88</v>
      </c>
      <c r="F9" s="33" t="str">
        <f>IF(D9&lt;=$K$9,"Y","N")</f>
        <v>Y</v>
      </c>
      <c r="G9" s="34" t="str">
        <f>IF(F9="N","-",IF(OR(E9&lt;$K$5,E9&gt;$K$6),"FAIL",IF(OR(E9&lt;$K$7,E9&gt;$K$8),"WARN","PASS")))</f>
        <v>PASS</v>
      </c>
      <c r="H9" s="33" t="str">
        <f>IF(F9="N","-",IF(AND(E9&gt;=$K$5,E9&lt;=$K$6),"Y","N"))</f>
        <v>Y</v>
      </c>
      <c r="J9" s="35" t="inlineStr">
        <is>
          <t>excl_r</t>
        </is>
      </c>
      <c r="K9" s="36" t="n">
        <v>72</v>
      </c>
    </row>
    <row r="10">
      <c r="A10" s="33" t="n">
        <v>6</v>
      </c>
      <c r="B10" s="18" t="n">
        <v>-22</v>
      </c>
      <c r="C10" s="18" t="n">
        <v>0</v>
      </c>
      <c r="D10" s="18">
        <f>ROUND(SQRT(B10^2+C10^2),2)</f>
        <v>22</v>
      </c>
      <c r="E10" s="18" t="n">
        <v>83.72</v>
      </c>
      <c r="F10" s="33" t="str">
        <f>IF(D10&lt;=$K$9,"Y","N")</f>
        <v>Y</v>
      </c>
      <c r="G10" s="34" t="str">
        <f>IF(F10="N","-",IF(OR(E10&lt;$K$5,E10&gt;$K$6),"FAIL",IF(OR(E10&lt;$K$7,E10&gt;$K$8),"WARN","PASS")))</f>
        <v>PASS</v>
      </c>
      <c r="H10" s="33" t="str">
        <f>IF(F10="N","-",IF(AND(E10&gt;=$K$5,E10&lt;=$K$6),"Y","N"))</f>
        <v>Y</v>
      </c>
    </row>
    <row r="11">
      <c r="A11" s="33" t="n">
        <v>7</v>
      </c>
      <c r="B11" s="18" t="n">
        <v>-15.56</v>
      </c>
      <c r="C11" s="18" t="n">
        <v>-15.56</v>
      </c>
      <c r="D11" s="18">
        <f>ROUND(SQRT(B11^2+C11^2),2)</f>
        <v>22</v>
      </c>
      <c r="E11" s="18" t="n">
        <v>84.78</v>
      </c>
      <c r="F11" s="33" t="str">
        <f>IF(D11&lt;=$K$9,"Y","N")</f>
        <v>Y</v>
      </c>
      <c r="G11" s="34" t="str">
        <f>IF(F11="N","-",IF(OR(E11&lt;$K$5,E11&gt;$K$6),"FAIL",IF(OR(E11&lt;$K$7,E11&gt;$K$8),"WARN","PASS")))</f>
        <v>PASS</v>
      </c>
      <c r="H11" s="33" t="str">
        <f>IF(F11="N","-",IF(AND(E11&gt;=$K$5,E11&lt;=$K$6),"Y","N"))</f>
        <v>Y</v>
      </c>
    </row>
    <row r="12">
      <c r="A12" s="33" t="n">
        <v>8</v>
      </c>
      <c r="B12" s="18" t="n">
        <v>-0</v>
      </c>
      <c r="C12" s="18" t="n">
        <v>-22</v>
      </c>
      <c r="D12" s="18">
        <f>ROUND(SQRT(B12^2+C12^2),2)</f>
        <v>22</v>
      </c>
      <c r="E12" s="18" t="n">
        <v>84.25</v>
      </c>
      <c r="F12" s="33" t="str">
        <f>IF(D12&lt;=$K$9,"Y","N")</f>
        <v>Y</v>
      </c>
      <c r="G12" s="34" t="str">
        <f>IF(F12="N","-",IF(OR(E12&lt;$K$5,E12&gt;$K$6),"FAIL",IF(OR(E12&lt;$K$7,E12&gt;$K$8),"WARN","PASS")))</f>
        <v>PASS</v>
      </c>
      <c r="H12" s="33" t="str">
        <f>IF(F12="N","-",IF(AND(E12&gt;=$K$5,E12&lt;=$K$6),"Y","N"))</f>
        <v>Y</v>
      </c>
    </row>
    <row r="13">
      <c r="A13" s="33" t="n">
        <v>9</v>
      </c>
      <c r="B13" s="18" t="n">
        <v>15.56</v>
      </c>
      <c r="C13" s="18" t="n">
        <v>-15.56</v>
      </c>
      <c r="D13" s="18">
        <f>ROUND(SQRT(B13^2+C13^2),2)</f>
        <v>22</v>
      </c>
      <c r="E13" s="18" t="n">
        <v>84.31</v>
      </c>
      <c r="F13" s="33" t="str">
        <f>IF(D13&lt;=$K$9,"Y","N")</f>
        <v>Y</v>
      </c>
      <c r="G13" s="34" t="str">
        <f>IF(F13="N","-",IF(OR(E13&lt;$K$5,E13&gt;$K$6),"FAIL",IF(OR(E13&lt;$K$7,E13&gt;$K$8),"WARN","PASS")))</f>
        <v>PASS</v>
      </c>
      <c r="H13" s="33" t="str">
        <f>IF(F13="N","-",IF(AND(E13&gt;=$K$5,E13&lt;=$K$6),"Y","N"))</f>
        <v>Y</v>
      </c>
    </row>
    <row r="14">
      <c r="A14" s="33" t="n">
        <v>10</v>
      </c>
      <c r="B14" s="18" t="n">
        <v>38.64</v>
      </c>
      <c r="C14" s="18" t="n">
        <v>10.35</v>
      </c>
      <c r="D14" s="18">
        <f>ROUND(SQRT(B14^2+C14^2),2)</f>
        <v>40</v>
      </c>
      <c r="E14" s="18" t="n">
        <v>85.63</v>
      </c>
      <c r="F14" s="33" t="str">
        <f>IF(D14&lt;=$K$9,"Y","N")</f>
        <v>Y</v>
      </c>
      <c r="G14" s="34" t="str">
        <f>IF(F14="N","-",IF(OR(E14&lt;$K$5,E14&gt;$K$6),"FAIL",IF(OR(E14&lt;$K$7,E14&gt;$K$8),"WARN","PASS")))</f>
        <v>PASS</v>
      </c>
      <c r="H14" s="33" t="str">
        <f>IF(F14="N","-",IF(AND(E14&gt;=$K$5,E14&lt;=$K$6),"Y","N"))</f>
        <v>Y</v>
      </c>
    </row>
    <row r="15">
      <c r="A15" s="33" t="n">
        <v>11</v>
      </c>
      <c r="B15" s="18" t="n">
        <v>28.28</v>
      </c>
      <c r="C15" s="18" t="n">
        <v>28.28</v>
      </c>
      <c r="D15" s="18">
        <f>ROUND(SQRT(B15^2+C15^2),2)</f>
        <v>40</v>
      </c>
      <c r="E15" s="18" t="n">
        <v>86.84</v>
      </c>
      <c r="F15" s="33" t="str">
        <f>IF(D15&lt;=$K$9,"Y","N")</f>
        <v>Y</v>
      </c>
      <c r="G15" s="34" t="str">
        <f>IF(F15="N","-",IF(OR(E15&lt;$K$5,E15&gt;$K$6),"FAIL",IF(OR(E15&lt;$K$7,E15&gt;$K$8),"WARN","PASS")))</f>
        <v>PASS</v>
      </c>
      <c r="H15" s="33" t="str">
        <f>IF(F15="N","-",IF(AND(E15&gt;=$K$5,E15&lt;=$K$6),"Y","N"))</f>
        <v>Y</v>
      </c>
    </row>
    <row r="16">
      <c r="A16" s="33" t="n">
        <v>12</v>
      </c>
      <c r="B16" s="18" t="n">
        <v>10.35</v>
      </c>
      <c r="C16" s="18" t="n">
        <v>38.64</v>
      </c>
      <c r="D16" s="18">
        <f>ROUND(SQRT(B16^2+C16^2),2)</f>
        <v>40</v>
      </c>
      <c r="E16" s="18" t="n">
        <v>86.22</v>
      </c>
      <c r="F16" s="33" t="str">
        <f>IF(D16&lt;=$K$9,"Y","N")</f>
        <v>Y</v>
      </c>
      <c r="G16" s="34" t="str">
        <f>IF(F16="N","-",IF(OR(E16&lt;$K$5,E16&gt;$K$6),"FAIL",IF(OR(E16&lt;$K$7,E16&gt;$K$8),"WARN","PASS")))</f>
        <v>PASS</v>
      </c>
      <c r="H16" s="33" t="str">
        <f>IF(F16="N","-",IF(AND(E16&gt;=$K$5,E16&lt;=$K$6),"Y","N"))</f>
        <v>Y</v>
      </c>
    </row>
    <row r="17">
      <c r="A17" s="33" t="n">
        <v>13</v>
      </c>
      <c r="B17" s="18" t="n">
        <v>-10.35</v>
      </c>
      <c r="C17" s="18" t="n">
        <v>38.64</v>
      </c>
      <c r="D17" s="18">
        <f>ROUND(SQRT(B17^2+C17^2),2)</f>
        <v>40</v>
      </c>
      <c r="E17" s="18" t="n">
        <v>86.13</v>
      </c>
      <c r="F17" s="33" t="str">
        <f>IF(D17&lt;=$K$9,"Y","N")</f>
        <v>Y</v>
      </c>
      <c r="G17" s="34" t="str">
        <f>IF(F17="N","-",IF(OR(E17&lt;$K$5,E17&gt;$K$6),"FAIL",IF(OR(E17&lt;$K$7,E17&gt;$K$8),"WARN","PASS")))</f>
        <v>PASS</v>
      </c>
      <c r="H17" s="33" t="str">
        <f>IF(F17="N","-",IF(AND(E17&gt;=$K$5,E17&lt;=$K$6),"Y","N"))</f>
        <v>Y</v>
      </c>
    </row>
    <row r="18">
      <c r="A18" s="33" t="n">
        <v>14</v>
      </c>
      <c r="B18" s="18" t="n">
        <v>-28.28</v>
      </c>
      <c r="C18" s="18" t="n">
        <v>28.28</v>
      </c>
      <c r="D18" s="18">
        <f>ROUND(SQRT(B18^2+C18^2),2)</f>
        <v>40</v>
      </c>
      <c r="E18" s="18" t="n">
        <v>86.87</v>
      </c>
      <c r="F18" s="33" t="str">
        <f>IF(D18&lt;=$K$9,"Y","N")</f>
        <v>Y</v>
      </c>
      <c r="G18" s="34" t="str">
        <f>IF(F18="N","-",IF(OR(E18&lt;$K$5,E18&gt;$K$6),"FAIL",IF(OR(E18&lt;$K$7,E18&gt;$K$8),"WARN","PASS")))</f>
        <v>PASS</v>
      </c>
      <c r="H18" s="33" t="str">
        <f>IF(F18="N","-",IF(AND(E18&gt;=$K$5,E18&lt;=$K$6),"Y","N"))</f>
        <v>Y</v>
      </c>
    </row>
    <row r="19">
      <c r="A19" s="33" t="n">
        <v>15</v>
      </c>
      <c r="B19" s="18" t="n">
        <v>-38.64</v>
      </c>
      <c r="C19" s="18" t="n">
        <v>10.35</v>
      </c>
      <c r="D19" s="18">
        <f>ROUND(SQRT(B19^2+C19^2),2)</f>
        <v>40</v>
      </c>
      <c r="E19" s="18" t="n">
        <v>86.57</v>
      </c>
      <c r="F19" s="33" t="str">
        <f>IF(D19&lt;=$K$9,"Y","N")</f>
        <v>Y</v>
      </c>
      <c r="G19" s="34" t="str">
        <f>IF(F19="N","-",IF(OR(E19&lt;$K$5,E19&gt;$K$6),"FAIL",IF(OR(E19&lt;$K$7,E19&gt;$K$8),"WARN","PASS")))</f>
        <v>PASS</v>
      </c>
      <c r="H19" s="33" t="str">
        <f>IF(F19="N","-",IF(AND(E19&gt;=$K$5,E19&lt;=$K$6),"Y","N"))</f>
        <v>Y</v>
      </c>
    </row>
    <row r="20">
      <c r="A20" s="33" t="n">
        <v>16</v>
      </c>
      <c r="B20" s="18" t="n">
        <v>-38.64</v>
      </c>
      <c r="C20" s="18" t="n">
        <v>-10.35</v>
      </c>
      <c r="D20" s="18">
        <f>ROUND(SQRT(B20^2+C20^2),2)</f>
        <v>40</v>
      </c>
      <c r="E20" s="18" t="n">
        <v>85.47</v>
      </c>
      <c r="F20" s="33" t="str">
        <f>IF(D20&lt;=$K$9,"Y","N")</f>
        <v>Y</v>
      </c>
      <c r="G20" s="34" t="str">
        <f>IF(F20="N","-",IF(OR(E20&lt;$K$5,E20&gt;$K$6),"FAIL",IF(OR(E20&lt;$K$7,E20&gt;$K$8),"WARN","PASS")))</f>
        <v>PASS</v>
      </c>
      <c r="H20" s="33" t="str">
        <f>IF(F20="N","-",IF(AND(E20&gt;=$K$5,E20&lt;=$K$6),"Y","N"))</f>
        <v>Y</v>
      </c>
    </row>
    <row r="21">
      <c r="A21" s="33" t="n">
        <v>17</v>
      </c>
      <c r="B21" s="18" t="n">
        <v>-28.28</v>
      </c>
      <c r="C21" s="18" t="n">
        <v>-28.28</v>
      </c>
      <c r="D21" s="18">
        <f>ROUND(SQRT(B21^2+C21^2),2)</f>
        <v>40</v>
      </c>
      <c r="E21" s="18" t="n">
        <v>85.67</v>
      </c>
      <c r="F21" s="33" t="str">
        <f>IF(D21&lt;=$K$9,"Y","N")</f>
        <v>Y</v>
      </c>
      <c r="G21" s="34" t="str">
        <f>IF(F21="N","-",IF(OR(E21&lt;$K$5,E21&gt;$K$6),"FAIL",IF(OR(E21&lt;$K$7,E21&gt;$K$8),"WARN","PASS")))</f>
        <v>PASS</v>
      </c>
      <c r="H21" s="33" t="str">
        <f>IF(F21="N","-",IF(AND(E21&gt;=$K$5,E21&lt;=$K$6),"Y","N"))</f>
        <v>Y</v>
      </c>
    </row>
    <row r="22">
      <c r="A22" s="33" t="n">
        <v>18</v>
      </c>
      <c r="B22" s="18" t="n">
        <v>-10.35</v>
      </c>
      <c r="C22" s="18" t="n">
        <v>-38.64</v>
      </c>
      <c r="D22" s="18">
        <f>ROUND(SQRT(B22^2+C22^2),2)</f>
        <v>40</v>
      </c>
      <c r="E22" s="18" t="n">
        <v>86.32</v>
      </c>
      <c r="F22" s="33" t="str">
        <f>IF(D22&lt;=$K$9,"Y","N")</f>
        <v>Y</v>
      </c>
      <c r="G22" s="34" t="str">
        <f>IF(F22="N","-",IF(OR(E22&lt;$K$5,E22&gt;$K$6),"FAIL",IF(OR(E22&lt;$K$7,E22&gt;$K$8),"WARN","PASS")))</f>
        <v>PASS</v>
      </c>
      <c r="H22" s="33" t="str">
        <f>IF(F22="N","-",IF(AND(E22&gt;=$K$5,E22&lt;=$K$6),"Y","N"))</f>
        <v>Y</v>
      </c>
    </row>
    <row r="23">
      <c r="A23" s="33" t="n">
        <v>19</v>
      </c>
      <c r="B23" s="18" t="n">
        <v>10.35</v>
      </c>
      <c r="C23" s="18" t="n">
        <v>-38.64</v>
      </c>
      <c r="D23" s="18">
        <f>ROUND(SQRT(B23^2+C23^2),2)</f>
        <v>40</v>
      </c>
      <c r="E23" s="18" t="n">
        <v>86.35</v>
      </c>
      <c r="F23" s="33" t="str">
        <f>IF(D23&lt;=$K$9,"Y","N")</f>
        <v>Y</v>
      </c>
      <c r="G23" s="34" t="str">
        <f>IF(F23="N","-",IF(OR(E23&lt;$K$5,E23&gt;$K$6),"FAIL",IF(OR(E23&lt;$K$7,E23&gt;$K$8),"WARN","PASS")))</f>
        <v>PASS</v>
      </c>
      <c r="H23" s="33" t="str">
        <f>IF(F23="N","-",IF(AND(E23&gt;=$K$5,E23&lt;=$K$6),"Y","N"))</f>
        <v>Y</v>
      </c>
    </row>
    <row r="24">
      <c r="A24" s="33" t="n">
        <v>20</v>
      </c>
      <c r="B24" s="18" t="n">
        <v>28.28</v>
      </c>
      <c r="C24" s="18" t="n">
        <v>-28.28</v>
      </c>
      <c r="D24" s="18">
        <f>ROUND(SQRT(B24^2+C24^2),2)</f>
        <v>40</v>
      </c>
      <c r="E24" s="18" t="n">
        <v>85.62</v>
      </c>
      <c r="F24" s="33" t="str">
        <f>IF(D24&lt;=$K$9,"Y","N")</f>
        <v>Y</v>
      </c>
      <c r="G24" s="34" t="str">
        <f>IF(F24="N","-",IF(OR(E24&lt;$K$5,E24&gt;$K$6),"FAIL",IF(OR(E24&lt;$K$7,E24&gt;$K$8),"WARN","PASS")))</f>
        <v>PASS</v>
      </c>
      <c r="H24" s="33" t="str">
        <f>IF(F24="N","-",IF(AND(E24&gt;=$K$5,E24&lt;=$K$6),"Y","N"))</f>
        <v>Y</v>
      </c>
    </row>
    <row r="25">
      <c r="A25" s="33" t="n">
        <v>21</v>
      </c>
      <c r="B25" s="18" t="n">
        <v>38.64</v>
      </c>
      <c r="C25" s="18" t="n">
        <v>-10.35</v>
      </c>
      <c r="D25" s="18">
        <f>ROUND(SQRT(B25^2+C25^2),2)</f>
        <v>40</v>
      </c>
      <c r="E25" s="18" t="n">
        <v>86.62</v>
      </c>
      <c r="F25" s="33" t="str">
        <f>IF(D25&lt;=$K$9,"Y","N")</f>
        <v>Y</v>
      </c>
      <c r="G25" s="34" t="str">
        <f>IF(F25="N","-",IF(OR(E25&lt;$K$5,E25&gt;$K$6),"FAIL",IF(OR(E25&lt;$K$7,E25&gt;$K$8),"WARN","PASS")))</f>
        <v>PASS</v>
      </c>
      <c r="H25" s="33" t="str">
        <f>IF(F25="N","-",IF(AND(E25&gt;=$K$5,E25&lt;=$K$6),"Y","N"))</f>
        <v>Y</v>
      </c>
    </row>
    <row r="26">
      <c r="A26" s="33" t="n">
        <v>22</v>
      </c>
      <c r="B26" s="18" t="n">
        <v>58</v>
      </c>
      <c r="C26" s="18" t="n">
        <v>0</v>
      </c>
      <c r="D26" s="18">
        <f>ROUND(SQRT(B26^2+C26^2),2)</f>
        <v>58</v>
      </c>
      <c r="E26" s="18" t="n">
        <v>89.05</v>
      </c>
      <c r="F26" s="33" t="str">
        <f>IF(D26&lt;=$K$9,"Y","N")</f>
        <v>Y</v>
      </c>
      <c r="G26" s="37" t="str">
        <f>IF(F26="N","-",IF(OR(E26&lt;$K$5,E26&gt;$K$6),"FAIL",IF(OR(E26&lt;$K$7,E26&gt;$K$8),"WARN","PASS")))</f>
        <v>WARN</v>
      </c>
      <c r="H26" s="33" t="str">
        <f>IF(F26="N","-",IF(AND(E26&gt;=$K$5,E26&lt;=$K$6),"Y","N"))</f>
        <v>Y</v>
      </c>
    </row>
    <row r="27">
      <c r="A27" s="33" t="n">
        <v>23</v>
      </c>
      <c r="B27" s="18" t="n">
        <v>50.23</v>
      </c>
      <c r="C27" s="18" t="n">
        <v>29</v>
      </c>
      <c r="D27" s="18">
        <f>ROUND(SQRT(B27^2+C27^2),2)</f>
        <v>58</v>
      </c>
      <c r="E27" s="18" t="n">
        <v>88.92</v>
      </c>
      <c r="F27" s="33" t="str">
        <f>IF(D27&lt;=$K$9,"Y","N")</f>
        <v>Y</v>
      </c>
      <c r="G27" s="37" t="str">
        <f>IF(F27="N","-",IF(OR(E27&lt;$K$5,E27&gt;$K$6),"FAIL",IF(OR(E27&lt;$K$7,E27&gt;$K$8),"WARN","PASS")))</f>
        <v>WARN</v>
      </c>
      <c r="H27" s="33" t="str">
        <f>IF(F27="N","-",IF(AND(E27&gt;=$K$5,E27&lt;=$K$6),"Y","N"))</f>
        <v>Y</v>
      </c>
    </row>
    <row r="28">
      <c r="A28" s="33" t="n">
        <v>24</v>
      </c>
      <c r="B28" s="18" t="n">
        <v>29</v>
      </c>
      <c r="C28" s="18" t="n">
        <v>50.23</v>
      </c>
      <c r="D28" s="18">
        <f>ROUND(SQRT(B28^2+C28^2),2)</f>
        <v>58</v>
      </c>
      <c r="E28" s="18" t="n">
        <v>90.07</v>
      </c>
      <c r="F28" s="33" t="str">
        <f>IF(D28&lt;=$K$9,"Y","N")</f>
        <v>Y</v>
      </c>
      <c r="G28" s="38" t="str">
        <f>IF(F28="N","-",IF(OR(E28&lt;$K$5,E28&gt;$K$6),"FAIL",IF(OR(E28&lt;$K$7,E28&gt;$K$8),"WARN","PASS")))</f>
        <v>FAIL</v>
      </c>
      <c r="H28" s="33" t="str">
        <f>IF(F28="N","-",IF(AND(E28&gt;=$K$5,E28&lt;=$K$6),"Y","N"))</f>
        <v>N</v>
      </c>
    </row>
    <row r="29">
      <c r="A29" s="33" t="n">
        <v>25</v>
      </c>
      <c r="B29" s="18" t="n">
        <v>0</v>
      </c>
      <c r="C29" s="18" t="n">
        <v>58</v>
      </c>
      <c r="D29" s="18">
        <f>ROUND(SQRT(B29^2+C29^2),2)</f>
        <v>58</v>
      </c>
      <c r="E29" s="18" t="n">
        <v>89.85</v>
      </c>
      <c r="F29" s="33" t="str">
        <f>IF(D29&lt;=$K$9,"Y","N")</f>
        <v>Y</v>
      </c>
      <c r="G29" s="38" t="str">
        <f>IF(F29="N","-",IF(OR(E29&lt;$K$5,E29&gt;$K$6),"FAIL",IF(OR(E29&lt;$K$7,E29&gt;$K$8),"WARN","PASS")))</f>
        <v>FAIL</v>
      </c>
      <c r="H29" s="33" t="str">
        <f>IF(F29="N","-",IF(AND(E29&gt;=$K$5,E29&lt;=$K$6),"Y","N"))</f>
        <v>N</v>
      </c>
    </row>
    <row r="30">
      <c r="A30" s="33" t="n">
        <v>26</v>
      </c>
      <c r="B30" s="18" t="n">
        <v>-29</v>
      </c>
      <c r="C30" s="18" t="n">
        <v>50.23</v>
      </c>
      <c r="D30" s="18">
        <f>ROUND(SQRT(B30^2+C30^2),2)</f>
        <v>58</v>
      </c>
      <c r="E30" s="18" t="n">
        <v>89.47</v>
      </c>
      <c r="F30" s="33" t="str">
        <f>IF(D30&lt;=$K$9,"Y","N")</f>
        <v>Y</v>
      </c>
      <c r="G30" s="38" t="str">
        <f>IF(F30="N","-",IF(OR(E30&lt;$K$5,E30&gt;$K$6),"FAIL",IF(OR(E30&lt;$K$7,E30&gt;$K$8),"WARN","PASS")))</f>
        <v>FAIL</v>
      </c>
      <c r="H30" s="33" t="str">
        <f>IF(F30="N","-",IF(AND(E30&gt;=$K$5,E30&lt;=$K$6),"Y","N"))</f>
        <v>N</v>
      </c>
    </row>
    <row r="31">
      <c r="A31" s="33" t="n">
        <v>27</v>
      </c>
      <c r="B31" s="18" t="n">
        <v>-50.23</v>
      </c>
      <c r="C31" s="18" t="n">
        <v>29</v>
      </c>
      <c r="D31" s="18">
        <f>ROUND(SQRT(B31^2+C31^2),2)</f>
        <v>58</v>
      </c>
      <c r="E31" s="18" t="n">
        <v>90.12</v>
      </c>
      <c r="F31" s="33" t="str">
        <f>IF(D31&lt;=$K$9,"Y","N")</f>
        <v>Y</v>
      </c>
      <c r="G31" s="38" t="str">
        <f>IF(F31="N","-",IF(OR(E31&lt;$K$5,E31&gt;$K$6),"FAIL",IF(OR(E31&lt;$K$7,E31&gt;$K$8),"WARN","PASS")))</f>
        <v>FAIL</v>
      </c>
      <c r="H31" s="33" t="str">
        <f>IF(F31="N","-",IF(AND(E31&gt;=$K$5,E31&lt;=$K$6),"Y","N"))</f>
        <v>N</v>
      </c>
    </row>
    <row r="32">
      <c r="A32" s="33" t="n">
        <v>28</v>
      </c>
      <c r="B32" s="18" t="n">
        <v>-58</v>
      </c>
      <c r="C32" s="18" t="n">
        <v>0</v>
      </c>
      <c r="D32" s="18">
        <f>ROUND(SQRT(B32^2+C32^2),2)</f>
        <v>58</v>
      </c>
      <c r="E32" s="18" t="n">
        <v>89.18</v>
      </c>
      <c r="F32" s="33" t="str">
        <f>IF(D32&lt;=$K$9,"Y","N")</f>
        <v>Y</v>
      </c>
      <c r="G32" s="37" t="str">
        <f>IF(F32="N","-",IF(OR(E32&lt;$K$5,E32&gt;$K$6),"FAIL",IF(OR(E32&lt;$K$7,E32&gt;$K$8),"WARN","PASS")))</f>
        <v>WARN</v>
      </c>
      <c r="H32" s="33" t="str">
        <f>IF(F32="N","-",IF(AND(E32&gt;=$K$5,E32&lt;=$K$6),"Y","N"))</f>
        <v>Y</v>
      </c>
    </row>
    <row r="33">
      <c r="A33" s="33" t="n">
        <v>29</v>
      </c>
      <c r="B33" s="18" t="n">
        <v>-50.23</v>
      </c>
      <c r="C33" s="18" t="n">
        <v>-29</v>
      </c>
      <c r="D33" s="18">
        <f>ROUND(SQRT(B33^2+C33^2),2)</f>
        <v>58</v>
      </c>
      <c r="E33" s="18" t="n">
        <v>88.68</v>
      </c>
      <c r="F33" s="33" t="str">
        <f>IF(D33&lt;=$K$9,"Y","N")</f>
        <v>Y</v>
      </c>
      <c r="G33" s="37" t="str">
        <f>IF(F33="N","-",IF(OR(E33&lt;$K$5,E33&gt;$K$6),"FAIL",IF(OR(E33&lt;$K$7,E33&gt;$K$8),"WARN","PASS")))</f>
        <v>WARN</v>
      </c>
      <c r="H33" s="33" t="str">
        <f>IF(F33="N","-",IF(AND(E33&gt;=$K$5,E33&lt;=$K$6),"Y","N"))</f>
        <v>Y</v>
      </c>
    </row>
    <row r="34">
      <c r="A34" s="33" t="n">
        <v>30</v>
      </c>
      <c r="B34" s="18" t="n">
        <v>-29</v>
      </c>
      <c r="C34" s="18" t="n">
        <v>-50.23</v>
      </c>
      <c r="D34" s="18">
        <f>ROUND(SQRT(B34^2+C34^2),2)</f>
        <v>58</v>
      </c>
      <c r="E34" s="18" t="n">
        <v>88.97</v>
      </c>
      <c r="F34" s="33" t="str">
        <f>IF(D34&lt;=$K$9,"Y","N")</f>
        <v>Y</v>
      </c>
      <c r="G34" s="37" t="str">
        <f>IF(F34="N","-",IF(OR(E34&lt;$K$5,E34&gt;$K$6),"FAIL",IF(OR(E34&lt;$K$7,E34&gt;$K$8),"WARN","PASS")))</f>
        <v>WARN</v>
      </c>
      <c r="H34" s="33" t="str">
        <f>IF(F34="N","-",IF(AND(E34&gt;=$K$5,E34&lt;=$K$6),"Y","N"))</f>
        <v>Y</v>
      </c>
    </row>
    <row r="35">
      <c r="A35" s="33" t="n">
        <v>31</v>
      </c>
      <c r="B35" s="18" t="n">
        <v>-0</v>
      </c>
      <c r="C35" s="18" t="n">
        <v>-58</v>
      </c>
      <c r="D35" s="18">
        <f>ROUND(SQRT(B35^2+C35^2),2)</f>
        <v>58</v>
      </c>
      <c r="E35" s="18" t="n">
        <v>89.99</v>
      </c>
      <c r="F35" s="33" t="str">
        <f>IF(D35&lt;=$K$9,"Y","N")</f>
        <v>Y</v>
      </c>
      <c r="G35" s="38" t="str">
        <f>IF(F35="N","-",IF(OR(E35&lt;$K$5,E35&gt;$K$6),"FAIL",IF(OR(E35&lt;$K$7,E35&gt;$K$8),"WARN","PASS")))</f>
        <v>FAIL</v>
      </c>
      <c r="H35" s="33" t="str">
        <f>IF(F35="N","-",IF(AND(E35&gt;=$K$5,E35&lt;=$K$6),"Y","N"))</f>
        <v>N</v>
      </c>
    </row>
    <row r="36">
      <c r="A36" s="33" t="n">
        <v>32</v>
      </c>
      <c r="B36" s="18" t="n">
        <v>29</v>
      </c>
      <c r="C36" s="18" t="n">
        <v>-50.23</v>
      </c>
      <c r="D36" s="18">
        <f>ROUND(SQRT(B36^2+C36^2),2)</f>
        <v>58</v>
      </c>
      <c r="E36" s="18" t="n">
        <v>90.06</v>
      </c>
      <c r="F36" s="33" t="str">
        <f>IF(D36&lt;=$K$9,"Y","N")</f>
        <v>Y</v>
      </c>
      <c r="G36" s="38" t="str">
        <f>IF(F36="N","-",IF(OR(E36&lt;$K$5,E36&gt;$K$6),"FAIL",IF(OR(E36&lt;$K$7,E36&gt;$K$8),"WARN","PASS")))</f>
        <v>FAIL</v>
      </c>
      <c r="H36" s="33" t="str">
        <f>IF(F36="N","-",IF(AND(E36&gt;=$K$5,E36&lt;=$K$6),"Y","N"))</f>
        <v>N</v>
      </c>
    </row>
    <row r="37">
      <c r="A37" s="33" t="n">
        <v>33</v>
      </c>
      <c r="B37" s="18" t="n">
        <v>50.23</v>
      </c>
      <c r="C37" s="18" t="n">
        <v>-29</v>
      </c>
      <c r="D37" s="18">
        <f>ROUND(SQRT(B37^2+C37^2),2)</f>
        <v>58</v>
      </c>
      <c r="E37" s="18" t="n">
        <v>88.66</v>
      </c>
      <c r="F37" s="33" t="str">
        <f>IF(D37&lt;=$K$9,"Y","N")</f>
        <v>Y</v>
      </c>
      <c r="G37" s="37" t="str">
        <f>IF(F37="N","-",IF(OR(E37&lt;$K$5,E37&gt;$K$6),"FAIL",IF(OR(E37&lt;$K$7,E37&gt;$K$8),"WARN","PASS")))</f>
        <v>WARN</v>
      </c>
      <c r="H37" s="33" t="str">
        <f>IF(F37="N","-",IF(AND(E37&gt;=$K$5,E37&lt;=$K$6),"Y","N"))</f>
        <v>Y</v>
      </c>
    </row>
    <row r="38">
      <c r="A38" s="33" t="n">
        <v>34</v>
      </c>
      <c r="B38" s="18" t="n">
        <v>71.6</v>
      </c>
      <c r="C38" s="18" t="n">
        <v>14.24</v>
      </c>
      <c r="D38" s="18">
        <f>ROUND(SQRT(B38^2+C38^2),2)</f>
        <v>73</v>
      </c>
      <c r="E38" s="18" t="n">
        <v>92.03</v>
      </c>
      <c r="F38" s="33" t="str">
        <f>IF(D38&lt;=$K$9,"Y","N")</f>
        <v>N</v>
      </c>
      <c r="G38" s="39" t="str">
        <f>IF(F38="N","-",IF(OR(E38&lt;$K$5,E38&gt;$K$6),"FAIL",IF(OR(E38&lt;$K$7,E38&gt;$K$8),"WARN","PASS")))</f>
        <v>-</v>
      </c>
      <c r="H38" s="33" t="str">
        <f>IF(F38="N","-",IF(AND(E38&gt;=$K$5,E38&lt;=$K$6),"Y","N"))</f>
        <v>-</v>
      </c>
    </row>
    <row r="39">
      <c r="A39" s="33" t="n">
        <v>35</v>
      </c>
      <c r="B39" s="18" t="n">
        <v>60.7</v>
      </c>
      <c r="C39" s="18" t="n">
        <v>40.56</v>
      </c>
      <c r="D39" s="18">
        <f>ROUND(SQRT(B39^2+C39^2),2)</f>
        <v>73</v>
      </c>
      <c r="E39" s="18" t="n">
        <v>92.81</v>
      </c>
      <c r="F39" s="33" t="str">
        <f>IF(D39&lt;=$K$9,"Y","N")</f>
        <v>N</v>
      </c>
      <c r="G39" s="39" t="str">
        <f>IF(F39="N","-",IF(OR(E39&lt;$K$5,E39&gt;$K$6),"FAIL",IF(OR(E39&lt;$K$7,E39&gt;$K$8),"WARN","PASS")))</f>
        <v>-</v>
      </c>
      <c r="H39" s="33" t="str">
        <f>IF(F39="N","-",IF(AND(E39&gt;=$K$5,E39&lt;=$K$6),"Y","N"))</f>
        <v>-</v>
      </c>
    </row>
    <row r="40">
      <c r="A40" s="33" t="n">
        <v>36</v>
      </c>
      <c r="B40" s="18" t="n">
        <v>40.56</v>
      </c>
      <c r="C40" s="18" t="n">
        <v>60.7</v>
      </c>
      <c r="D40" s="18">
        <f>ROUND(SQRT(B40^2+C40^2),2)</f>
        <v>73</v>
      </c>
      <c r="E40" s="18" t="n">
        <v>92.18</v>
      </c>
      <c r="F40" s="33" t="str">
        <f>IF(D40&lt;=$K$9,"Y","N")</f>
        <v>N</v>
      </c>
      <c r="G40" s="39" t="str">
        <f>IF(F40="N","-",IF(OR(E40&lt;$K$5,E40&gt;$K$6),"FAIL",IF(OR(E40&lt;$K$7,E40&gt;$K$8),"WARN","PASS")))</f>
        <v>-</v>
      </c>
      <c r="H40" s="33" t="str">
        <f>IF(F40="N","-",IF(AND(E40&gt;=$K$5,E40&lt;=$K$6),"Y","N"))</f>
        <v>-</v>
      </c>
    </row>
    <row r="41">
      <c r="A41" s="33" t="n">
        <v>37</v>
      </c>
      <c r="B41" s="18" t="n">
        <v>14.24</v>
      </c>
      <c r="C41" s="18" t="n">
        <v>71.6</v>
      </c>
      <c r="D41" s="18">
        <f>ROUND(SQRT(B41^2+C41^2),2)</f>
        <v>73</v>
      </c>
      <c r="E41" s="18" t="n">
        <v>92.47</v>
      </c>
      <c r="F41" s="33" t="str">
        <f>IF(D41&lt;=$K$9,"Y","N")</f>
        <v>N</v>
      </c>
      <c r="G41" s="39" t="str">
        <f>IF(F41="N","-",IF(OR(E41&lt;$K$5,E41&gt;$K$6),"FAIL",IF(OR(E41&lt;$K$7,E41&gt;$K$8),"WARN","PASS")))</f>
        <v>-</v>
      </c>
      <c r="H41" s="33" t="str">
        <f>IF(F41="N","-",IF(AND(E41&gt;=$K$5,E41&lt;=$K$6),"Y","N"))</f>
        <v>-</v>
      </c>
    </row>
    <row r="42">
      <c r="A42" s="33" t="n">
        <v>38</v>
      </c>
      <c r="B42" s="18" t="n">
        <v>-14.24</v>
      </c>
      <c r="C42" s="18" t="n">
        <v>71.6</v>
      </c>
      <c r="D42" s="18">
        <f>ROUND(SQRT(B42^2+C42^2),2)</f>
        <v>73</v>
      </c>
      <c r="E42" s="18" t="n">
        <v>92.48</v>
      </c>
      <c r="F42" s="33" t="str">
        <f>IF(D42&lt;=$K$9,"Y","N")</f>
        <v>N</v>
      </c>
      <c r="G42" s="39" t="str">
        <f>IF(F42="N","-",IF(OR(E42&lt;$K$5,E42&gt;$K$6),"FAIL",IF(OR(E42&lt;$K$7,E42&gt;$K$8),"WARN","PASS")))</f>
        <v>-</v>
      </c>
      <c r="H42" s="33" t="str">
        <f>IF(F42="N","-",IF(AND(E42&gt;=$K$5,E42&lt;=$K$6),"Y","N"))</f>
        <v>-</v>
      </c>
    </row>
    <row r="43">
      <c r="A43" s="33" t="n">
        <v>39</v>
      </c>
      <c r="B43" s="18" t="n">
        <v>-40.56</v>
      </c>
      <c r="C43" s="18" t="n">
        <v>60.7</v>
      </c>
      <c r="D43" s="18">
        <f>ROUND(SQRT(B43^2+C43^2),2)</f>
        <v>73</v>
      </c>
      <c r="E43" s="18" t="n">
        <v>93.48</v>
      </c>
      <c r="F43" s="33" t="str">
        <f>IF(D43&lt;=$K$9,"Y","N")</f>
        <v>N</v>
      </c>
      <c r="G43" s="39" t="str">
        <f>IF(F43="N","-",IF(OR(E43&lt;$K$5,E43&gt;$K$6),"FAIL",IF(OR(E43&lt;$K$7,E43&gt;$K$8),"WARN","PASS")))</f>
        <v>-</v>
      </c>
      <c r="H43" s="33" t="str">
        <f>IF(F43="N","-",IF(AND(E43&gt;=$K$5,E43&lt;=$K$6),"Y","N"))</f>
        <v>-</v>
      </c>
    </row>
    <row r="44">
      <c r="A44" s="33" t="n">
        <v>40</v>
      </c>
      <c r="B44" s="18" t="n">
        <v>-60.7</v>
      </c>
      <c r="C44" s="18" t="n">
        <v>40.56</v>
      </c>
      <c r="D44" s="18">
        <f>ROUND(SQRT(B44^2+C44^2),2)</f>
        <v>73</v>
      </c>
      <c r="E44" s="18" t="n">
        <v>92.85</v>
      </c>
      <c r="F44" s="33" t="str">
        <f>IF(D44&lt;=$K$9,"Y","N")</f>
        <v>N</v>
      </c>
      <c r="G44" s="39" t="str">
        <f>IF(F44="N","-",IF(OR(E44&lt;$K$5,E44&gt;$K$6),"FAIL",IF(OR(E44&lt;$K$7,E44&gt;$K$8),"WARN","PASS")))</f>
        <v>-</v>
      </c>
      <c r="H44" s="33" t="str">
        <f>IF(F44="N","-",IF(AND(E44&gt;=$K$5,E44&lt;=$K$6),"Y","N"))</f>
        <v>-</v>
      </c>
    </row>
    <row r="45">
      <c r="A45" s="33" t="n">
        <v>41</v>
      </c>
      <c r="B45" s="18" t="n">
        <v>-71.6</v>
      </c>
      <c r="C45" s="18" t="n">
        <v>14.24</v>
      </c>
      <c r="D45" s="18">
        <f>ROUND(SQRT(B45^2+C45^2),2)</f>
        <v>73</v>
      </c>
      <c r="E45" s="18" t="n">
        <v>92.52</v>
      </c>
      <c r="F45" s="33" t="str">
        <f>IF(D45&lt;=$K$9,"Y","N")</f>
        <v>N</v>
      </c>
      <c r="G45" s="39" t="str">
        <f>IF(F45="N","-",IF(OR(E45&lt;$K$5,E45&gt;$K$6),"FAIL",IF(OR(E45&lt;$K$7,E45&gt;$K$8),"WARN","PASS")))</f>
        <v>-</v>
      </c>
      <c r="H45" s="33" t="str">
        <f>IF(F45="N","-",IF(AND(E45&gt;=$K$5,E45&lt;=$K$6),"Y","N"))</f>
        <v>-</v>
      </c>
    </row>
    <row r="46">
      <c r="A46" s="33" t="n">
        <v>42</v>
      </c>
      <c r="B46" s="18" t="n">
        <v>-71.6</v>
      </c>
      <c r="C46" s="18" t="n">
        <v>-14.24</v>
      </c>
      <c r="D46" s="18">
        <f>ROUND(SQRT(B46^2+C46^2),2)</f>
        <v>73</v>
      </c>
      <c r="E46" s="18" t="n">
        <v>92.51</v>
      </c>
      <c r="F46" s="33" t="str">
        <f>IF(D46&lt;=$K$9,"Y","N")</f>
        <v>N</v>
      </c>
      <c r="G46" s="39" t="str">
        <f>IF(F46="N","-",IF(OR(E46&lt;$K$5,E46&gt;$K$6),"FAIL",IF(OR(E46&lt;$K$7,E46&gt;$K$8),"WARN","PASS")))</f>
        <v>-</v>
      </c>
      <c r="H46" s="33" t="str">
        <f>IF(F46="N","-",IF(AND(E46&gt;=$K$5,E46&lt;=$K$6),"Y","N"))</f>
        <v>-</v>
      </c>
    </row>
    <row r="47">
      <c r="A47" s="33" t="n">
        <v>43</v>
      </c>
      <c r="B47" s="18" t="n">
        <v>-60.7</v>
      </c>
      <c r="C47" s="18" t="n">
        <v>-40.56</v>
      </c>
      <c r="D47" s="18">
        <f>ROUND(SQRT(B47^2+C47^2),2)</f>
        <v>73</v>
      </c>
      <c r="E47" s="18" t="n">
        <v>92.64</v>
      </c>
      <c r="F47" s="33" t="str">
        <f>IF(D47&lt;=$K$9,"Y","N")</f>
        <v>N</v>
      </c>
      <c r="G47" s="39" t="str">
        <f>IF(F47="N","-",IF(OR(E47&lt;$K$5,E47&gt;$K$6),"FAIL",IF(OR(E47&lt;$K$7,E47&gt;$K$8),"WARN","PASS")))</f>
        <v>-</v>
      </c>
      <c r="H47" s="33" t="str">
        <f>IF(F47="N","-",IF(AND(E47&gt;=$K$5,E47&lt;=$K$6),"Y","N"))</f>
        <v>-</v>
      </c>
    </row>
    <row r="48">
      <c r="A48" s="33" t="n">
        <v>44</v>
      </c>
      <c r="B48" s="18" t="n">
        <v>-40.56</v>
      </c>
      <c r="C48" s="18" t="n">
        <v>-60.7</v>
      </c>
      <c r="D48" s="18">
        <f>ROUND(SQRT(B48^2+C48^2),2)</f>
        <v>73</v>
      </c>
      <c r="E48" s="18" t="n">
        <v>92.55</v>
      </c>
      <c r="F48" s="33" t="str">
        <f>IF(D48&lt;=$K$9,"Y","N")</f>
        <v>N</v>
      </c>
      <c r="G48" s="39" t="str">
        <f>IF(F48="N","-",IF(OR(E48&lt;$K$5,E48&gt;$K$6),"FAIL",IF(OR(E48&lt;$K$7,E48&gt;$K$8),"WARN","PASS")))</f>
        <v>-</v>
      </c>
      <c r="H48" s="33" t="str">
        <f>IF(F48="N","-",IF(AND(E48&gt;=$K$5,E48&lt;=$K$6),"Y","N"))</f>
        <v>-</v>
      </c>
    </row>
    <row r="49">
      <c r="A49" s="33" t="n">
        <v>45</v>
      </c>
      <c r="B49" s="18" t="n">
        <v>-14.24</v>
      </c>
      <c r="C49" s="18" t="n">
        <v>-71.6</v>
      </c>
      <c r="D49" s="18">
        <f>ROUND(SQRT(B49^2+C49^2),2)</f>
        <v>73</v>
      </c>
      <c r="E49" s="18" t="n">
        <v>93.02</v>
      </c>
      <c r="F49" s="33" t="str">
        <f>IF(D49&lt;=$K$9,"Y","N")</f>
        <v>N</v>
      </c>
      <c r="G49" s="39" t="str">
        <f>IF(F49="N","-",IF(OR(E49&lt;$K$5,E49&gt;$K$6),"FAIL",IF(OR(E49&lt;$K$7,E49&gt;$K$8),"WARN","PASS")))</f>
        <v>-</v>
      </c>
      <c r="H49" s="33" t="str">
        <f>IF(F49="N","-",IF(AND(E49&gt;=$K$5,E49&lt;=$K$6),"Y","N"))</f>
        <v>-</v>
      </c>
    </row>
    <row r="50">
      <c r="A50" s="33" t="n">
        <v>46</v>
      </c>
      <c r="B50" s="18" t="n">
        <v>14.24</v>
      </c>
      <c r="C50" s="18" t="n">
        <v>-71.6</v>
      </c>
      <c r="D50" s="18">
        <f>ROUND(SQRT(B50^2+C50^2),2)</f>
        <v>73</v>
      </c>
      <c r="E50" s="18" t="n">
        <v>92.19</v>
      </c>
      <c r="F50" s="33" t="str">
        <f>IF(D50&lt;=$K$9,"Y","N")</f>
        <v>N</v>
      </c>
      <c r="G50" s="39" t="str">
        <f>IF(F50="N","-",IF(OR(E50&lt;$K$5,E50&gt;$K$6),"FAIL",IF(OR(E50&lt;$K$7,E50&gt;$K$8),"WARN","PASS")))</f>
        <v>-</v>
      </c>
      <c r="H50" s="33" t="str">
        <f>IF(F50="N","-",IF(AND(E50&gt;=$K$5,E50&lt;=$K$6),"Y","N"))</f>
        <v>-</v>
      </c>
    </row>
    <row r="51">
      <c r="A51" s="33" t="n">
        <v>47</v>
      </c>
      <c r="B51" s="18" t="n">
        <v>40.56</v>
      </c>
      <c r="C51" s="18" t="n">
        <v>-60.7</v>
      </c>
      <c r="D51" s="18">
        <f>ROUND(SQRT(B51^2+C51^2),2)</f>
        <v>73</v>
      </c>
      <c r="E51" s="18" t="n">
        <v>92.86</v>
      </c>
      <c r="F51" s="33" t="str">
        <f>IF(D51&lt;=$K$9,"Y","N")</f>
        <v>N</v>
      </c>
      <c r="G51" s="39" t="str">
        <f>IF(F51="N","-",IF(OR(E51&lt;$K$5,E51&gt;$K$6),"FAIL",IF(OR(E51&lt;$K$7,E51&gt;$K$8),"WARN","PASS")))</f>
        <v>-</v>
      </c>
      <c r="H51" s="33" t="str">
        <f>IF(F51="N","-",IF(AND(E51&gt;=$K$5,E51&lt;=$K$6),"Y","N"))</f>
        <v>-</v>
      </c>
    </row>
    <row r="52">
      <c r="A52" s="33" t="n">
        <v>48</v>
      </c>
      <c r="B52" s="18" t="n">
        <v>60.7</v>
      </c>
      <c r="C52" s="18" t="n">
        <v>-40.56</v>
      </c>
      <c r="D52" s="18">
        <f>ROUND(SQRT(B52^2+C52^2),2)</f>
        <v>73</v>
      </c>
      <c r="E52" s="18" t="n">
        <v>92.94</v>
      </c>
      <c r="F52" s="33" t="str">
        <f>IF(D52&lt;=$K$9,"Y","N")</f>
        <v>N</v>
      </c>
      <c r="G52" s="39" t="str">
        <f>IF(F52="N","-",IF(OR(E52&lt;$K$5,E52&gt;$K$6),"FAIL",IF(OR(E52&lt;$K$7,E52&gt;$K$8),"WARN","PASS")))</f>
        <v>-</v>
      </c>
      <c r="H52" s="33" t="str">
        <f>IF(F52="N","-",IF(AND(E52&gt;=$K$5,E52&lt;=$K$6),"Y","N"))</f>
        <v>-</v>
      </c>
    </row>
    <row r="53">
      <c r="A53" s="33" t="n">
        <v>49</v>
      </c>
      <c r="B53" s="18" t="n">
        <v>71.6</v>
      </c>
      <c r="C53" s="18" t="n">
        <v>-14.24</v>
      </c>
      <c r="D53" s="18">
        <f>ROUND(SQRT(B53^2+C53^2),2)</f>
        <v>73</v>
      </c>
      <c r="E53" s="18" t="n">
        <v>92.12</v>
      </c>
      <c r="F53" s="33" t="str">
        <f>IF(D53&lt;=$K$9,"Y","N")</f>
        <v>N</v>
      </c>
      <c r="G53" s="39" t="str">
        <f>IF(F53="N","-",IF(OR(E53&lt;$K$5,E53&gt;$K$6),"FAIL",IF(OR(E53&lt;$K$7,E53&gt;$K$8),"WARN","PASS")))</f>
        <v>-</v>
      </c>
      <c r="H53" s="33" t="str">
        <f>IF(F53="N","-",IF(AND(E53&gt;=$K$5,E53&lt;=$K$6),"Y","N"))</f>
        <v>-</v>
      </c>
    </row>
    <row r="55">
      <c r="A55" s="28" t="inlineStr">
        <is>
          <t>W01 statistics (included sites, live)</t>
        </is>
      </c>
    </row>
    <row r="56">
      <c r="A56" s="40" t="inlineStr">
        <is>
          <t>Included site count</t>
        </is>
      </c>
      <c r="B56" s="41" t="n"/>
      <c r="C56" s="17">
        <f>COUNTIF(F5:F53,"Y")</f>
        <v>33</v>
      </c>
    </row>
    <row r="57">
      <c r="A57" s="40" t="inlineStr">
        <is>
          <t>Mean Rs</t>
        </is>
      </c>
      <c r="B57" s="41" t="n"/>
      <c r="C57" s="18">
        <f>ROUND(AVERAGEIF(F5:F53,"Y",E5:E53),2)</f>
        <v>86.86</v>
      </c>
    </row>
    <row r="58">
      <c r="A58" s="40" t="inlineStr">
        <is>
          <t>Min Rs</t>
        </is>
      </c>
      <c r="B58" s="41" t="n"/>
      <c r="C58" s="18">
        <f>ROUND(MINIFS(E5:E53,F5:F53,"Y"),2)</f>
        <v>83.72</v>
      </c>
    </row>
    <row r="59">
      <c r="A59" s="40" t="inlineStr">
        <is>
          <t>Max Rs</t>
        </is>
      </c>
      <c r="B59" s="41" t="n"/>
      <c r="C59" s="18">
        <f>ROUND(MAXIFS(E5:E53,F5:F53,"Y"),2)</f>
        <v>90.12</v>
      </c>
    </row>
    <row r="60">
      <c r="A60" s="40" t="inlineStr">
        <is>
          <t>WIW NU %</t>
        </is>
      </c>
      <c r="B60" s="41" t="n"/>
      <c r="C60" s="18">
        <f>ROUND((C59-C58)/(2*C57)*100,2)</f>
        <v>3.68</v>
      </c>
    </row>
    <row r="61">
      <c r="A61" s="40" t="inlineStr">
        <is>
          <t>Yield % (in spec / included)</t>
        </is>
      </c>
      <c r="B61" s="41" t="n"/>
      <c r="C61" s="19">
        <f>ROUND(COUNTIF(H5:H53,"Y")/COUNTIF(F5:F53,"Y")*100,1)</f>
        <v>81.8</v>
      </c>
    </row>
  </sheetData>
  <mergeCells count="2">
    <mergeCell ref="A55:D55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Metrology</dc:creator>
  <dc:title xmlns:dc="http://purl.org/dc/elements/1.1/">Lot L7734-02 Wafer Analysis</dc:title>
  <dcterms:created xmlns:dcterms="http://purl.org/dc/terms/" xmlns:xsi="http://www.w3.org/2001/XMLSchema-instance" xsi:type="dcterms:W3CDTF">2026-07-19T01:54:58Z</dcterms:created>
  <dcterms:modified xmlns:dcterms="http://purl.org/dc/terms/" xmlns:xsi="http://www.w3.org/2001/XMLSchema-instance" xsi:type="dcterms:W3CDTF">2026-07-19T01:54:58Z</dcterms:modified>
  <cp:lastModifiedBy>Metrology</cp:lastModifiedBy>
</cp:coreProperties>
</file>