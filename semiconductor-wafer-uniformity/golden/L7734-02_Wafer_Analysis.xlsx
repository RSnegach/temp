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snegach\Downloads\temp_repo\semiconductor-wafer-uniformity\golden\"/>
    </mc:Choice>
  </mc:AlternateContent>
  <xr:revisionPtr revIDLastSave="0" documentId="13_ncr:1_{7A416BC8-CAE3-4C3C-A546-49688024742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Lot_Summary" sheetId="1" r:id="rId1"/>
    <sheet name="Per_Wafer" sheetId="2" r:id="rId2"/>
    <sheet name="Wafer_Map" sheetId="3" r:id="rId3"/>
    <sheet name="Site_Detai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4" l="1"/>
  <c r="F51" i="4" s="1"/>
  <c r="D50" i="4"/>
  <c r="F50" i="4" s="1"/>
  <c r="D49" i="4"/>
  <c r="F49" i="4" s="1"/>
  <c r="I49" i="4" s="1"/>
  <c r="D48" i="4"/>
  <c r="F48" i="4" s="1"/>
  <c r="D47" i="4"/>
  <c r="F47" i="4" s="1"/>
  <c r="D46" i="4"/>
  <c r="F46" i="4" s="1"/>
  <c r="F45" i="4"/>
  <c r="I45" i="4" s="1"/>
  <c r="D45" i="4"/>
  <c r="D44" i="4"/>
  <c r="F44" i="4" s="1"/>
  <c r="D43" i="4"/>
  <c r="F43" i="4" s="1"/>
  <c r="D42" i="4"/>
  <c r="F42" i="4" s="1"/>
  <c r="D41" i="4"/>
  <c r="F41" i="4" s="1"/>
  <c r="I41" i="4" s="1"/>
  <c r="D40" i="4"/>
  <c r="F40" i="4" s="1"/>
  <c r="D39" i="4"/>
  <c r="F39" i="4" s="1"/>
  <c r="D38" i="4"/>
  <c r="F38" i="4" s="1"/>
  <c r="D37" i="4"/>
  <c r="F37" i="4" s="1"/>
  <c r="D36" i="4"/>
  <c r="F36" i="4" s="1"/>
  <c r="D35" i="4"/>
  <c r="F35" i="4" s="1"/>
  <c r="D34" i="4"/>
  <c r="F34" i="4" s="1"/>
  <c r="D33" i="4"/>
  <c r="F33" i="4" s="1"/>
  <c r="I33" i="4" s="1"/>
  <c r="D32" i="4"/>
  <c r="F32" i="4" s="1"/>
  <c r="D31" i="4"/>
  <c r="F31" i="4" s="1"/>
  <c r="D30" i="4"/>
  <c r="F30" i="4" s="1"/>
  <c r="D29" i="4"/>
  <c r="F29" i="4" s="1"/>
  <c r="I29" i="4" s="1"/>
  <c r="D28" i="4"/>
  <c r="F28" i="4" s="1"/>
  <c r="D27" i="4"/>
  <c r="F27" i="4" s="1"/>
  <c r="D26" i="4"/>
  <c r="F26" i="4" s="1"/>
  <c r="F25" i="4"/>
  <c r="I25" i="4" s="1"/>
  <c r="D25" i="4"/>
  <c r="D24" i="4"/>
  <c r="F24" i="4" s="1"/>
  <c r="D23" i="4"/>
  <c r="F23" i="4" s="1"/>
  <c r="D22" i="4"/>
  <c r="F22" i="4" s="1"/>
  <c r="D21" i="4"/>
  <c r="F21" i="4" s="1"/>
  <c r="D20" i="4"/>
  <c r="F20" i="4" s="1"/>
  <c r="D19" i="4"/>
  <c r="F19" i="4" s="1"/>
  <c r="D18" i="4"/>
  <c r="F18" i="4" s="1"/>
  <c r="D17" i="4"/>
  <c r="F17" i="4" s="1"/>
  <c r="I17" i="4" s="1"/>
  <c r="D16" i="4"/>
  <c r="F16" i="4" s="1"/>
  <c r="D15" i="4"/>
  <c r="F15" i="4" s="1"/>
  <c r="D14" i="4"/>
  <c r="F14" i="4" s="1"/>
  <c r="D13" i="4"/>
  <c r="F13" i="4" s="1"/>
  <c r="I13" i="4" s="1"/>
  <c r="D12" i="4"/>
  <c r="F12" i="4" s="1"/>
  <c r="D11" i="4"/>
  <c r="F11" i="4" s="1"/>
  <c r="D10" i="4"/>
  <c r="F10" i="4" s="1"/>
  <c r="D9" i="4"/>
  <c r="F9" i="4" s="1"/>
  <c r="I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C8" i="1"/>
  <c r="C7" i="1"/>
  <c r="C6" i="1"/>
  <c r="B12" i="1" s="1"/>
  <c r="I27" i="4" l="1"/>
  <c r="H27" i="4"/>
  <c r="G27" i="4"/>
  <c r="H12" i="4"/>
  <c r="I12" i="4"/>
  <c r="G12" i="4"/>
  <c r="G39" i="4"/>
  <c r="I39" i="4"/>
  <c r="H39" i="4"/>
  <c r="I40" i="4"/>
  <c r="H40" i="4"/>
  <c r="G40" i="4"/>
  <c r="I44" i="4"/>
  <c r="H44" i="4"/>
  <c r="G44" i="4"/>
  <c r="I14" i="4"/>
  <c r="H14" i="4"/>
  <c r="G14" i="4"/>
  <c r="I15" i="4"/>
  <c r="H15" i="4"/>
  <c r="G15" i="4"/>
  <c r="I16" i="4"/>
  <c r="H16" i="4"/>
  <c r="G16" i="4"/>
  <c r="I3" i="4"/>
  <c r="C54" i="4"/>
  <c r="H3" i="4"/>
  <c r="C59" i="4" s="1"/>
  <c r="G3" i="4"/>
  <c r="H31" i="4"/>
  <c r="I31" i="4"/>
  <c r="G31" i="4"/>
  <c r="H26" i="4"/>
  <c r="G26" i="4"/>
  <c r="I26" i="4"/>
  <c r="I28" i="4"/>
  <c r="H28" i="4"/>
  <c r="G28" i="4"/>
  <c r="H42" i="4"/>
  <c r="G42" i="4"/>
  <c r="I42" i="4"/>
  <c r="I43" i="4"/>
  <c r="H43" i="4"/>
  <c r="G43" i="4"/>
  <c r="I30" i="4"/>
  <c r="H30" i="4"/>
  <c r="G30" i="4"/>
  <c r="I4" i="4"/>
  <c r="H4" i="4"/>
  <c r="G4" i="4"/>
  <c r="I5" i="4"/>
  <c r="H5" i="4"/>
  <c r="G5" i="4"/>
  <c r="H6" i="4"/>
  <c r="I6" i="4"/>
  <c r="G6" i="4"/>
  <c r="I18" i="4"/>
  <c r="H18" i="4"/>
  <c r="G18" i="4"/>
  <c r="G7" i="4"/>
  <c r="H7" i="4"/>
  <c r="I7" i="4"/>
  <c r="I32" i="4"/>
  <c r="H32" i="4"/>
  <c r="G32" i="4"/>
  <c r="H47" i="4"/>
  <c r="I47" i="4"/>
  <c r="G47" i="4"/>
  <c r="I21" i="4"/>
  <c r="H21" i="4"/>
  <c r="G21" i="4"/>
  <c r="I34" i="4"/>
  <c r="H34" i="4"/>
  <c r="G34" i="4"/>
  <c r="I48" i="4"/>
  <c r="G48" i="4"/>
  <c r="H48" i="4"/>
  <c r="I22" i="4"/>
  <c r="H22" i="4"/>
  <c r="G22" i="4"/>
  <c r="I35" i="4"/>
  <c r="H35" i="4"/>
  <c r="G35" i="4"/>
  <c r="I19" i="4"/>
  <c r="H19" i="4"/>
  <c r="G19" i="4"/>
  <c r="I46" i="4"/>
  <c r="H46" i="4"/>
  <c r="G46" i="4"/>
  <c r="G20" i="4"/>
  <c r="I20" i="4"/>
  <c r="H20" i="4"/>
  <c r="I8" i="4"/>
  <c r="H8" i="4"/>
  <c r="G8" i="4"/>
  <c r="G23" i="4"/>
  <c r="I23" i="4"/>
  <c r="H23" i="4"/>
  <c r="I24" i="4"/>
  <c r="H24" i="4"/>
  <c r="G24" i="4"/>
  <c r="I50" i="4"/>
  <c r="H50" i="4"/>
  <c r="G50" i="4"/>
  <c r="I36" i="4"/>
  <c r="H36" i="4"/>
  <c r="G36" i="4"/>
  <c r="H10" i="4"/>
  <c r="G10" i="4"/>
  <c r="I10" i="4"/>
  <c r="I37" i="4"/>
  <c r="H37" i="4"/>
  <c r="G37" i="4"/>
  <c r="I11" i="4"/>
  <c r="H11" i="4"/>
  <c r="G11" i="4"/>
  <c r="I38" i="4"/>
  <c r="H38" i="4"/>
  <c r="G38" i="4"/>
  <c r="I51" i="4"/>
  <c r="H51" i="4"/>
  <c r="G51" i="4"/>
  <c r="G17" i="4"/>
  <c r="G33" i="4"/>
  <c r="G49" i="4"/>
  <c r="H17" i="4"/>
  <c r="H33" i="4"/>
  <c r="H49" i="4"/>
  <c r="G25" i="4"/>
  <c r="G41" i="4"/>
  <c r="H9" i="4"/>
  <c r="H25" i="4"/>
  <c r="H41" i="4"/>
  <c r="G9" i="4"/>
  <c r="G45" i="4"/>
  <c r="G13" i="4"/>
  <c r="G29" i="4"/>
  <c r="H13" i="4"/>
  <c r="H29" i="4"/>
  <c r="H45" i="4"/>
  <c r="C57" i="4" l="1"/>
  <c r="C56" i="4"/>
  <c r="C55" i="4"/>
  <c r="C58" i="4" l="1"/>
</calcChain>
</file>

<file path=xl/sharedStrings.xml><?xml version="1.0" encoding="utf-8"?>
<sst xmlns="http://schemas.openxmlformats.org/spreadsheetml/2006/main" count="134" uniqueCount="111">
  <si>
    <t>Metric</t>
  </si>
  <si>
    <t>Value</t>
  </si>
  <si>
    <t>Verdict</t>
  </si>
  <si>
    <t>Wafers in lot</t>
  </si>
  <si>
    <t>25</t>
  </si>
  <si>
    <t>Sites per wafer (total / included)</t>
  </si>
  <si>
    <t>49 / 33</t>
  </si>
  <si>
    <t>Lot mean Rs (ohm/sq)</t>
  </si>
  <si>
    <t>85.57</t>
  </si>
  <si>
    <t>Wafer-to-wafer W2W (%)</t>
  </si>
  <si>
    <t>1.69</t>
  </si>
  <si>
    <t>Max WIW nonuniformity (%)</t>
  </si>
  <si>
    <t>4.30</t>
  </si>
  <si>
    <t>Lot yield (included sites in spec)</t>
  </si>
  <si>
    <t>96.00 %</t>
  </si>
  <si>
    <t>Total included site measurements</t>
  </si>
  <si>
    <t>825</t>
  </si>
  <si>
    <t>Failing site measurements</t>
  </si>
  <si>
    <t>33</t>
  </si>
  <si>
    <t>Lot disposition</t>
  </si>
  <si>
    <t>Wafer</t>
  </si>
  <si>
    <t>n incl</t>
  </si>
  <si>
    <t>Mean</t>
  </si>
  <si>
    <t>Min</t>
  </si>
  <si>
    <t>Max</t>
  </si>
  <si>
    <t>WIW NU %</t>
  </si>
  <si>
    <t>Yield %</t>
  </si>
  <si>
    <t>Fails</t>
  </si>
  <si>
    <t>W01</t>
  </si>
  <si>
    <t>W02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</si>
  <si>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</si>
  <si>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</si>
  <si>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</si>
  <si>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</si>
  <si>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</si>
  <si>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</si>
  <si>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</si>
  <si>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</si>
  <si>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</si>
  <si>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</si>
  <si>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</si>
  <si>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</si>
  <si>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</si>
  <si>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</si>
  <si>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</si>
  <si>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</si>
  <si>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</si>
  <si>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</si>
  <si>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</si>
  <si>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</si>
  <si>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</si>
  <si>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</si>
  <si>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</si>
  <si>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LOT</t>
  </si>
  <si>
    <t>EX</t>
  </si>
  <si>
    <t>89.8</t>
  </si>
  <si>
    <t>89.5</t>
  </si>
  <si>
    <t>90.1</t>
  </si>
  <si>
    <t>86.1</t>
  </si>
  <si>
    <t>86.2</t>
  </si>
  <si>
    <t>86.9</t>
  </si>
  <si>
    <t>84.7</t>
  </si>
  <si>
    <t>86.8</t>
  </si>
  <si>
    <t>88.9</t>
  </si>
  <si>
    <t>86.6</t>
  </si>
  <si>
    <t>83.9</t>
  </si>
  <si>
    <t>84.5</t>
  </si>
  <si>
    <t>85.6</t>
  </si>
  <si>
    <t>89.2</t>
  </si>
  <si>
    <t>83.7</t>
  </si>
  <si>
    <t>84.1</t>
  </si>
  <si>
    <t>84.9</t>
  </si>
  <si>
    <t>89.0</t>
  </si>
  <si>
    <t>85.5</t>
  </si>
  <si>
    <t>84.8</t>
  </si>
  <si>
    <t>84.3</t>
  </si>
  <si>
    <t>88.7</t>
  </si>
  <si>
    <t>85.7</t>
  </si>
  <si>
    <t>84.2</t>
  </si>
  <si>
    <t>86.3</t>
  </si>
  <si>
    <t>90.0</t>
  </si>
  <si>
    <t>W01 mean 86.86  WIW 3.68%  yield 81.8%</t>
  </si>
  <si>
    <t>PASS</t>
  </si>
  <si>
    <t>WARN</t>
  </si>
  <si>
    <t>FAIL</t>
  </si>
  <si>
    <t>EX (edge-excluded)</t>
  </si>
  <si>
    <t>Site Detail - W01</t>
  </si>
  <si>
    <t>Site</t>
  </si>
  <si>
    <t>x_mm</t>
  </si>
  <si>
    <t>y_mm</t>
  </si>
  <si>
    <t>Radius mm</t>
  </si>
  <si>
    <t>Rs ohm/sq</t>
  </si>
  <si>
    <t>Included</t>
  </si>
  <si>
    <t>Bin</t>
  </si>
  <si>
    <t>In spec</t>
  </si>
  <si>
    <t>Rs (incl only)</t>
  </si>
  <si>
    <t>constants</t>
  </si>
  <si>
    <t>LSL</t>
  </si>
  <si>
    <t>USL</t>
  </si>
  <si>
    <t>warn_lo</t>
  </si>
  <si>
    <t>warn_hi</t>
  </si>
  <si>
    <t>excl_r</t>
  </si>
  <si>
    <t>W01 statistics (included sites, live)</t>
  </si>
  <si>
    <t>Included site count</t>
  </si>
  <si>
    <t>Mean Rs</t>
  </si>
  <si>
    <t>Min Rs</t>
  </si>
  <si>
    <t>Max Rs</t>
  </si>
  <si>
    <t>Yield % (in spec / included)</t>
  </si>
  <si>
    <t>Per-Wafer Stats</t>
  </si>
  <si>
    <t>Wafer Map - W01</t>
  </si>
  <si>
    <t>Lot L7734-02 Sheet Resistance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</si>
</sst>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4"/>
      <color rgb="FF15324B"/>
      <name val="Calibri"/>
    </font>
    <font>
      <i/>
      <sz val="9"/>
      <color rgb="FF5A6472"/>
      <name val="Calibri"/>
    </font>
    <font>
      <b/>
      <sz val="10"/>
      <color rgb="FFFFFFFF"/>
      <name val="Calibri"/>
    </font>
    <font>
      <b/>
      <sz val="10"/>
      <color rgb="FF1A1A1A"/>
      <name val="Calibri"/>
    </font>
    <font>
      <sz val="10"/>
      <color rgb="FF1A1A1A"/>
      <name val="Calibri"/>
    </font>
    <font>
      <b/>
      <sz val="11"/>
      <color rgb="FF15324B"/>
      <name val="Calibri"/>
    </font>
    <font>
      <sz val="9"/>
      <color rgb="FF1A1A1A"/>
      <name val="Consolas"/>
    </font>
    <font>
      <b/>
      <sz val="7"/>
      <color rgb="FF1A1A1A"/>
      <name val="Calibri"/>
    </font>
    <font>
      <sz val="7"/>
      <color rgb="FF1A1A1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5324B"/>
      </patternFill>
    </fill>
    <fill>
      <patternFill patternType="solid">
        <fgColor rgb="FFC9E6D4"/>
      </patternFill>
    </fill>
    <fill>
      <patternFill patternType="solid">
        <fgColor rgb="FFFBE8C8"/>
      </patternFill>
    </fill>
    <fill>
      <patternFill patternType="solid">
        <fgColor rgb="FFEAF0F4"/>
      </patternFill>
    </fill>
    <fill>
      <patternFill patternType="solid">
        <fgColor rgb="FFF5CBC6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C3CDD6"/>
      </left>
      <right style="thin">
        <color rgb="FFC3CDD6"/>
      </right>
      <top style="thin">
        <color rgb="FFC3CDD6"/>
      </top>
      <bottom style="thin">
        <color rgb="FFC3CDD6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6" fillId="0" borderId="1" xfId="0" applyFont="1" applyBorder="1"/>
    <xf numFmtId="0" fontId="6" fillId="3" borderId="1" xfId="0" applyFont="1" applyFill="1" applyBorder="1" applyAlignment="1">
      <alignment vertical="center"/>
    </xf>
    <xf numFmtId="0" fontId="4" fillId="4" borderId="1" xfId="0" applyFont="1" applyFill="1" applyBorder="1"/>
    <xf numFmtId="1" fontId="7" fillId="4" borderId="1" xfId="0" applyNumberFormat="1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164" fontId="7" fillId="4" borderId="1" xfId="0" applyNumberFormat="1" applyFont="1" applyFill="1" applyBorder="1" applyAlignment="1">
      <alignment horizontal="center"/>
    </xf>
    <xf numFmtId="0" fontId="4" fillId="0" borderId="1" xfId="0" applyFont="1" applyBorder="1"/>
    <xf numFmtId="1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4" fillId="5" borderId="1" xfId="0" applyFont="1" applyFill="1" applyBorder="1"/>
    <xf numFmtId="0" fontId="0" fillId="5" borderId="1" xfId="0" applyFill="1" applyBorder="1"/>
    <xf numFmtId="2" fontId="4" fillId="5" borderId="1" xfId="0" applyNumberFormat="1" applyFont="1" applyFill="1" applyBorder="1"/>
    <xf numFmtId="164" fontId="4" fillId="5" borderId="1" xfId="0" applyNumberFormat="1" applyFont="1" applyFill="1" applyBorder="1"/>
    <xf numFmtId="0" fontId="9" fillId="7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4" fillId="0" borderId="0" xfId="0" applyFont="1"/>
    <xf numFmtId="0" fontId="5" fillId="3" borderId="1" xfId="0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0" borderId="0" xfId="0" applyFont="1"/>
    <xf numFmtId="2" fontId="7" fillId="0" borderId="0" xfId="0" applyNumberFormat="1" applyFont="1"/>
    <xf numFmtId="0" fontId="7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5" fillId="0" borderId="1" xfId="0" applyFont="1" applyBorder="1"/>
    <xf numFmtId="0" fontId="0" fillId="0" borderId="1" xfId="0" applyBorder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34" customWidth="1"/>
    <col min="2" max="2" width="16" customWidth="1"/>
    <col min="3" max="3" width="10" customWidth="1"/>
  </cols>
  <sheetData>
    <row r="1" spans="1:3" ht="18" x14ac:dyDescent="0.35">
      <c r="A1" s="1" t="s">
        <v>110</v>
      </c>
    </row>
    <row r="2" spans="1:3" x14ac:dyDescent="0.3">
      <c r="A2" s="3" t="s">
        <v>0</v>
      </c>
      <c r="B2" s="3" t="s">
        <v>1</v>
      </c>
      <c r="C2" s="3" t="s">
        <v>2</v>
      </c>
    </row>
    <row r="3" spans="1:3" x14ac:dyDescent="0.3">
      <c r="A3" s="4" t="s">
        <v>3</v>
      </c>
      <c r="B3" s="5" t="s">
        <v>4</v>
      </c>
      <c r="C3" s="6"/>
    </row>
    <row r="4" spans="1:3" x14ac:dyDescent="0.3">
      <c r="A4" s="5" t="s">
        <v>5</v>
      </c>
      <c r="B4" s="5" t="s">
        <v>6</v>
      </c>
      <c r="C4" s="6"/>
    </row>
    <row r="5" spans="1:3" x14ac:dyDescent="0.3">
      <c r="A5" s="5" t="s">
        <v>7</v>
      </c>
      <c r="B5" s="5" t="s">
        <v>8</v>
      </c>
      <c r="C5" s="6"/>
    </row>
    <row r="6" spans="1:3" x14ac:dyDescent="0.3">
      <c r="A6" s="5" t="s">
        <v>9</v>
      </c>
      <c r="B6" s="5" t="s">
        <v>10</v>
      </c>
      <c r="C6" s="7" t="str">
        <f>IF(VALUE(LEFT(B6,FIND(" ",B6&amp;" ")-1))&lt;=3,"PASS","FAIL")</f>
        <v>PASS</v>
      </c>
    </row>
    <row r="7" spans="1:3" x14ac:dyDescent="0.3">
      <c r="A7" s="5" t="s">
        <v>11</v>
      </c>
      <c r="B7" s="5" t="s">
        <v>12</v>
      </c>
      <c r="C7" s="7" t="str">
        <f>IF(VALUE(B7)&lt;=5,"PASS","FAIL")</f>
        <v>PASS</v>
      </c>
    </row>
    <row r="8" spans="1:3" x14ac:dyDescent="0.3">
      <c r="A8" s="5" t="s">
        <v>13</v>
      </c>
      <c r="B8" s="5" t="s">
        <v>14</v>
      </c>
      <c r="C8" s="7" t="str">
        <f>IF(VALUE(LEFT(B8,FIND(" ",B8&amp;" ")-1))&gt;=95,"PASS","FAIL")</f>
        <v>PASS</v>
      </c>
    </row>
    <row r="9" spans="1:3" x14ac:dyDescent="0.3">
      <c r="A9" s="5" t="s">
        <v>15</v>
      </c>
      <c r="B9" s="5" t="s">
        <v>16</v>
      </c>
      <c r="C9" s="6"/>
    </row>
    <row r="10" spans="1:3" x14ac:dyDescent="0.3">
      <c r="A10" s="5" t="s">
        <v>17</v>
      </c>
      <c r="B10" s="5" t="s">
        <v>18</v>
      </c>
      <c r="C10" s="6"/>
    </row>
    <row r="12" spans="1:3" x14ac:dyDescent="0.3">
      <c r="A12" s="8" t="s">
        <v>19</v>
      </c>
      <c r="B12" s="9" t="str">
        <f>IF(AND(C6="PASS",C7="PASS",C8="PASS"),"CONTINUE","HOLD")</f>
        <v>CONTINUE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workbookViewId="0">
      <pane ySplit="2" topLeftCell="A3" activePane="bottomLeft" state="frozen"/>
      <selection pane="bottomLeft" activeCell="M6" sqref="M6"/>
    </sheetView>
  </sheetViews>
  <sheetFormatPr defaultRowHeight="14.4" x14ac:dyDescent="0.3"/>
  <cols>
    <col min="1" max="2" width="8" customWidth="1"/>
    <col min="3" max="5" width="9" customWidth="1"/>
    <col min="6" max="6" width="11" customWidth="1"/>
    <col min="7" max="7" width="9" customWidth="1"/>
    <col min="8" max="8" width="7" customWidth="1"/>
  </cols>
  <sheetData>
    <row r="1" spans="1:8" ht="18" x14ac:dyDescent="0.35">
      <c r="A1" s="1" t="s">
        <v>108</v>
      </c>
    </row>
    <row r="2" spans="1:8" x14ac:dyDescent="0.3">
      <c r="A2" s="3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3" t="s">
        <v>27</v>
      </c>
    </row>
    <row r="3" spans="1:8" x14ac:dyDescent="0.3">
      <c r="A3" s="10" t="s">
        <v>28</v>
      </c>
      <c r="B3" s="11">
        <v>33</v>
      </c>
      <c r="C3" s="12">
        <v>86.86</v>
      </c>
      <c r="D3" s="12">
        <v>83.72</v>
      </c>
      <c r="E3" s="12">
        <v>90.12</v>
      </c>
      <c r="F3" s="12">
        <v>3.68</v>
      </c>
      <c r="G3" s="13">
        <v>81.82</v>
      </c>
      <c r="H3" s="11">
        <v>6</v>
      </c>
    </row>
    <row r="4" spans="1:8" x14ac:dyDescent="0.3">
      <c r="A4" s="14" t="s">
        <v>29</v>
      </c>
      <c r="B4" s="15">
        <v>33</v>
      </c>
      <c r="C4" s="16">
        <v>85.85</v>
      </c>
      <c r="D4" s="16">
        <v>82</v>
      </c>
      <c r="E4" s="16">
        <v>89.18</v>
      </c>
      <c r="F4" s="16">
        <v>4.18</v>
      </c>
      <c r="G4" s="17">
        <v>100</v>
      </c>
      <c r="H4" s="15">
        <v>0</v>
      </c>
    </row>
    <row r="5" spans="1:8" x14ac:dyDescent="0.3">
      <c r="A5" s="14" t="s">
        <v>30</v>
      </c>
      <c r="B5" s="15">
        <v>33</v>
      </c>
      <c r="C5" s="16">
        <v>85.8</v>
      </c>
      <c r="D5" s="16">
        <v>81.66</v>
      </c>
      <c r="E5" s="16">
        <v>88.86</v>
      </c>
      <c r="F5" s="16">
        <v>4.2</v>
      </c>
      <c r="G5" s="17">
        <v>100</v>
      </c>
      <c r="H5" s="15">
        <v>0</v>
      </c>
    </row>
    <row r="6" spans="1:8" x14ac:dyDescent="0.3">
      <c r="A6" s="14" t="s">
        <v>31</v>
      </c>
      <c r="B6" s="15">
        <v>33</v>
      </c>
      <c r="C6" s="16">
        <v>85.54</v>
      </c>
      <c r="D6" s="16">
        <v>82.15</v>
      </c>
      <c r="E6" s="16">
        <v>88.84</v>
      </c>
      <c r="F6" s="16">
        <v>3.91</v>
      </c>
      <c r="G6" s="17">
        <v>100</v>
      </c>
      <c r="H6" s="15">
        <v>0</v>
      </c>
    </row>
    <row r="7" spans="1:8" x14ac:dyDescent="0.3">
      <c r="A7" s="14" t="s">
        <v>32</v>
      </c>
      <c r="B7" s="15">
        <v>33</v>
      </c>
      <c r="C7" s="16">
        <v>85.7</v>
      </c>
      <c r="D7" s="16">
        <v>81.57</v>
      </c>
      <c r="E7" s="16">
        <v>88.94</v>
      </c>
      <c r="F7" s="16">
        <v>4.3</v>
      </c>
      <c r="G7" s="17">
        <v>100</v>
      </c>
      <c r="H7" s="15">
        <v>0</v>
      </c>
    </row>
    <row r="8" spans="1:8" x14ac:dyDescent="0.3">
      <c r="A8" s="14" t="s">
        <v>33</v>
      </c>
      <c r="B8" s="15">
        <v>33</v>
      </c>
      <c r="C8" s="16">
        <v>85.13</v>
      </c>
      <c r="D8" s="16">
        <v>81.36</v>
      </c>
      <c r="E8" s="16">
        <v>88.01</v>
      </c>
      <c r="F8" s="16">
        <v>3.91</v>
      </c>
      <c r="G8" s="17">
        <v>100</v>
      </c>
      <c r="H8" s="15">
        <v>0</v>
      </c>
    </row>
    <row r="9" spans="1:8" x14ac:dyDescent="0.3">
      <c r="A9" s="10" t="s">
        <v>34</v>
      </c>
      <c r="B9" s="11">
        <v>33</v>
      </c>
      <c r="C9" s="12">
        <v>86.91</v>
      </c>
      <c r="D9" s="12">
        <v>83.22</v>
      </c>
      <c r="E9" s="12">
        <v>90.32</v>
      </c>
      <c r="F9" s="12">
        <v>4.08</v>
      </c>
      <c r="G9" s="13">
        <v>75.76</v>
      </c>
      <c r="H9" s="11">
        <v>8</v>
      </c>
    </row>
    <row r="10" spans="1:8" x14ac:dyDescent="0.3">
      <c r="A10" s="14" t="s">
        <v>35</v>
      </c>
      <c r="B10" s="15">
        <v>33</v>
      </c>
      <c r="C10" s="16">
        <v>85.76</v>
      </c>
      <c r="D10" s="16">
        <v>81.98</v>
      </c>
      <c r="E10" s="16">
        <v>89.16</v>
      </c>
      <c r="F10" s="16">
        <v>4.19</v>
      </c>
      <c r="G10" s="17">
        <v>100</v>
      </c>
      <c r="H10" s="15">
        <v>0</v>
      </c>
    </row>
    <row r="11" spans="1:8" x14ac:dyDescent="0.3">
      <c r="A11" s="10" t="s">
        <v>36</v>
      </c>
      <c r="B11" s="11">
        <v>33</v>
      </c>
      <c r="C11" s="12">
        <v>84.72</v>
      </c>
      <c r="D11" s="12">
        <v>80.64</v>
      </c>
      <c r="E11" s="12">
        <v>87.9</v>
      </c>
      <c r="F11" s="12">
        <v>4.28</v>
      </c>
      <c r="G11" s="13">
        <v>96.97</v>
      </c>
      <c r="H11" s="11">
        <v>1</v>
      </c>
    </row>
    <row r="12" spans="1:8" x14ac:dyDescent="0.3">
      <c r="A12" s="10" t="s">
        <v>37</v>
      </c>
      <c r="B12" s="11">
        <v>33</v>
      </c>
      <c r="C12" s="12">
        <v>86.35</v>
      </c>
      <c r="D12" s="12">
        <v>82.45</v>
      </c>
      <c r="E12" s="12">
        <v>89.53</v>
      </c>
      <c r="F12" s="12">
        <v>4.1</v>
      </c>
      <c r="G12" s="13">
        <v>87.88</v>
      </c>
      <c r="H12" s="11">
        <v>4</v>
      </c>
    </row>
    <row r="13" spans="1:8" x14ac:dyDescent="0.3">
      <c r="A13" s="14" t="s">
        <v>38</v>
      </c>
      <c r="B13" s="15">
        <v>33</v>
      </c>
      <c r="C13" s="16">
        <v>85.19</v>
      </c>
      <c r="D13" s="16">
        <v>82.15</v>
      </c>
      <c r="E13" s="16">
        <v>88.35</v>
      </c>
      <c r="F13" s="16">
        <v>3.64</v>
      </c>
      <c r="G13" s="17">
        <v>100</v>
      </c>
      <c r="H13" s="15">
        <v>0</v>
      </c>
    </row>
    <row r="14" spans="1:8" x14ac:dyDescent="0.3">
      <c r="A14" s="14" t="s">
        <v>39</v>
      </c>
      <c r="B14" s="15">
        <v>33</v>
      </c>
      <c r="C14" s="16">
        <v>85.32</v>
      </c>
      <c r="D14" s="16">
        <v>81.33</v>
      </c>
      <c r="E14" s="16">
        <v>88.42</v>
      </c>
      <c r="F14" s="16">
        <v>4.16</v>
      </c>
      <c r="G14" s="17">
        <v>100</v>
      </c>
      <c r="H14" s="15">
        <v>0</v>
      </c>
    </row>
    <row r="15" spans="1:8" x14ac:dyDescent="0.3">
      <c r="A15" s="10" t="s">
        <v>40</v>
      </c>
      <c r="B15" s="11">
        <v>33</v>
      </c>
      <c r="C15" s="12">
        <v>86.98</v>
      </c>
      <c r="D15" s="12">
        <v>83.07</v>
      </c>
      <c r="E15" s="12">
        <v>90.46</v>
      </c>
      <c r="F15" s="12">
        <v>4.25</v>
      </c>
      <c r="G15" s="13">
        <v>78.79</v>
      </c>
      <c r="H15" s="11">
        <v>7</v>
      </c>
    </row>
    <row r="16" spans="1:8" x14ac:dyDescent="0.3">
      <c r="A16" s="14" t="s">
        <v>41</v>
      </c>
      <c r="B16" s="15">
        <v>33</v>
      </c>
      <c r="C16" s="16">
        <v>85.89</v>
      </c>
      <c r="D16" s="16">
        <v>82.45</v>
      </c>
      <c r="E16" s="16">
        <v>89.15</v>
      </c>
      <c r="F16" s="16">
        <v>3.9</v>
      </c>
      <c r="G16" s="17">
        <v>100</v>
      </c>
      <c r="H16" s="15">
        <v>0</v>
      </c>
    </row>
    <row r="17" spans="1:8" x14ac:dyDescent="0.3">
      <c r="A17" s="10" t="s">
        <v>42</v>
      </c>
      <c r="B17" s="11">
        <v>33</v>
      </c>
      <c r="C17" s="12">
        <v>84.46</v>
      </c>
      <c r="D17" s="12">
        <v>80.7</v>
      </c>
      <c r="E17" s="12">
        <v>87.76</v>
      </c>
      <c r="F17" s="12">
        <v>4.18</v>
      </c>
      <c r="G17" s="13">
        <v>96.97</v>
      </c>
      <c r="H17" s="11">
        <v>1</v>
      </c>
    </row>
    <row r="18" spans="1:8" x14ac:dyDescent="0.3">
      <c r="A18" s="14" t="s">
        <v>43</v>
      </c>
      <c r="B18" s="15">
        <v>33</v>
      </c>
      <c r="C18" s="16">
        <v>85.36</v>
      </c>
      <c r="D18" s="16">
        <v>82.02</v>
      </c>
      <c r="E18" s="16">
        <v>88.58</v>
      </c>
      <c r="F18" s="16">
        <v>3.84</v>
      </c>
      <c r="G18" s="17">
        <v>100</v>
      </c>
      <c r="H18" s="15">
        <v>0</v>
      </c>
    </row>
    <row r="19" spans="1:8" x14ac:dyDescent="0.3">
      <c r="A19" s="14" t="s">
        <v>44</v>
      </c>
      <c r="B19" s="15">
        <v>33</v>
      </c>
      <c r="C19" s="16">
        <v>85.83</v>
      </c>
      <c r="D19" s="16">
        <v>82.43</v>
      </c>
      <c r="E19" s="16">
        <v>89</v>
      </c>
      <c r="F19" s="16">
        <v>3.83</v>
      </c>
      <c r="G19" s="17">
        <v>100</v>
      </c>
      <c r="H19" s="15">
        <v>0</v>
      </c>
    </row>
    <row r="20" spans="1:8" x14ac:dyDescent="0.3">
      <c r="A20" s="14" t="s">
        <v>45</v>
      </c>
      <c r="B20" s="15">
        <v>33</v>
      </c>
      <c r="C20" s="16">
        <v>85.32</v>
      </c>
      <c r="D20" s="16">
        <v>81.59</v>
      </c>
      <c r="E20" s="16">
        <v>88.58</v>
      </c>
      <c r="F20" s="16">
        <v>4.1</v>
      </c>
      <c r="G20" s="17">
        <v>100</v>
      </c>
      <c r="H20" s="15">
        <v>0</v>
      </c>
    </row>
    <row r="21" spans="1:8" x14ac:dyDescent="0.3">
      <c r="A21" s="10" t="s">
        <v>46</v>
      </c>
      <c r="B21" s="11">
        <v>33</v>
      </c>
      <c r="C21" s="12">
        <v>84.1</v>
      </c>
      <c r="D21" s="12">
        <v>80.49</v>
      </c>
      <c r="E21" s="12">
        <v>87.44</v>
      </c>
      <c r="F21" s="12">
        <v>4.13</v>
      </c>
      <c r="G21" s="13">
        <v>96.97</v>
      </c>
      <c r="H21" s="11">
        <v>1</v>
      </c>
    </row>
    <row r="22" spans="1:8" x14ac:dyDescent="0.3">
      <c r="A22" s="14" t="s">
        <v>47</v>
      </c>
      <c r="B22" s="15">
        <v>33</v>
      </c>
      <c r="C22" s="16">
        <v>84.56</v>
      </c>
      <c r="D22" s="16">
        <v>81.53</v>
      </c>
      <c r="E22" s="16">
        <v>87.76</v>
      </c>
      <c r="F22" s="16">
        <v>3.68</v>
      </c>
      <c r="G22" s="17">
        <v>100</v>
      </c>
      <c r="H22" s="15">
        <v>0</v>
      </c>
    </row>
    <row r="23" spans="1:8" x14ac:dyDescent="0.3">
      <c r="A23" s="14" t="s">
        <v>48</v>
      </c>
      <c r="B23" s="15">
        <v>33</v>
      </c>
      <c r="C23" s="16">
        <v>85.9</v>
      </c>
      <c r="D23" s="16">
        <v>82.93</v>
      </c>
      <c r="E23" s="16">
        <v>89.05</v>
      </c>
      <c r="F23" s="16">
        <v>3.56</v>
      </c>
      <c r="G23" s="17">
        <v>100</v>
      </c>
      <c r="H23" s="15">
        <v>0</v>
      </c>
    </row>
    <row r="24" spans="1:8" x14ac:dyDescent="0.3">
      <c r="A24" s="14" t="s">
        <v>49</v>
      </c>
      <c r="B24" s="15">
        <v>33</v>
      </c>
      <c r="C24" s="16">
        <v>84.52</v>
      </c>
      <c r="D24" s="16">
        <v>80.95</v>
      </c>
      <c r="E24" s="16">
        <v>87.8</v>
      </c>
      <c r="F24" s="16">
        <v>4.05</v>
      </c>
      <c r="G24" s="17">
        <v>100</v>
      </c>
      <c r="H24" s="15">
        <v>0</v>
      </c>
    </row>
    <row r="25" spans="1:8" x14ac:dyDescent="0.3">
      <c r="A25" s="14" t="s">
        <v>50</v>
      </c>
      <c r="B25" s="15">
        <v>33</v>
      </c>
      <c r="C25" s="16">
        <v>85.67</v>
      </c>
      <c r="D25" s="16">
        <v>81.84</v>
      </c>
      <c r="E25" s="16">
        <v>89.04</v>
      </c>
      <c r="F25" s="16">
        <v>4.2</v>
      </c>
      <c r="G25" s="17">
        <v>100</v>
      </c>
      <c r="H25" s="15">
        <v>0</v>
      </c>
    </row>
    <row r="26" spans="1:8" x14ac:dyDescent="0.3">
      <c r="A26" s="10" t="s">
        <v>51</v>
      </c>
      <c r="B26" s="11">
        <v>33</v>
      </c>
      <c r="C26" s="12">
        <v>86.87</v>
      </c>
      <c r="D26" s="12">
        <v>83.67</v>
      </c>
      <c r="E26" s="12">
        <v>89.95</v>
      </c>
      <c r="F26" s="12">
        <v>3.61</v>
      </c>
      <c r="G26" s="13">
        <v>84.85</v>
      </c>
      <c r="H26" s="11">
        <v>5</v>
      </c>
    </row>
    <row r="27" spans="1:8" x14ac:dyDescent="0.3">
      <c r="A27" s="14" t="s">
        <v>52</v>
      </c>
      <c r="B27" s="15">
        <v>33</v>
      </c>
      <c r="C27" s="16">
        <v>84.67</v>
      </c>
      <c r="D27" s="16">
        <v>81.23</v>
      </c>
      <c r="E27" s="16">
        <v>87.73</v>
      </c>
      <c r="F27" s="16">
        <v>3.84</v>
      </c>
      <c r="G27" s="17">
        <v>100</v>
      </c>
      <c r="H27" s="15">
        <v>0</v>
      </c>
    </row>
    <row r="28" spans="1:8" x14ac:dyDescent="0.3">
      <c r="A28" s="18" t="s">
        <v>53</v>
      </c>
      <c r="B28" s="19"/>
      <c r="C28" s="20">
        <v>85.57</v>
      </c>
      <c r="D28" s="19"/>
      <c r="E28" s="19"/>
      <c r="F28" s="20">
        <v>4.3</v>
      </c>
      <c r="G28" s="21">
        <v>96</v>
      </c>
      <c r="H28" s="1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workbookViewId="0">
      <selection activeCell="C5" sqref="C5"/>
    </sheetView>
  </sheetViews>
  <sheetFormatPr defaultRowHeight="14.4" x14ac:dyDescent="0.3"/>
  <cols>
    <col min="1" max="31" width="5.21875" customWidth="1"/>
  </cols>
  <sheetData>
    <row r="1" spans="1:15" ht="18" x14ac:dyDescent="0.35">
      <c r="A1" s="1" t="s">
        <v>109</v>
      </c>
    </row>
    <row r="3" spans="1:15" ht="22.05" customHeight="1" x14ac:dyDescent="0.3"/>
    <row r="4" spans="1:15" ht="22.05" customHeight="1" x14ac:dyDescent="0.3"/>
    <row r="5" spans="1:15" ht="22.05" customHeight="1" x14ac:dyDescent="0.3">
      <c r="H5" s="22" t="s">
        <v>54</v>
      </c>
      <c r="J5" s="22" t="s">
        <v>54</v>
      </c>
    </row>
    <row r="6" spans="1:15" ht="22.05" customHeight="1" x14ac:dyDescent="0.3">
      <c r="F6" s="22" t="s">
        <v>54</v>
      </c>
      <c r="I6" s="23" t="s">
        <v>55</v>
      </c>
      <c r="L6" s="22" t="s">
        <v>54</v>
      </c>
    </row>
    <row r="7" spans="1:15" ht="22.05" customHeight="1" x14ac:dyDescent="0.3">
      <c r="G7" s="23" t="s">
        <v>56</v>
      </c>
      <c r="K7" s="23" t="s">
        <v>57</v>
      </c>
    </row>
    <row r="8" spans="1:15" ht="22.05" customHeight="1" x14ac:dyDescent="0.3">
      <c r="D8" s="22" t="s">
        <v>54</v>
      </c>
      <c r="H8" s="24" t="s">
        <v>58</v>
      </c>
      <c r="J8" s="24" t="s">
        <v>59</v>
      </c>
      <c r="N8" s="22" t="s">
        <v>54</v>
      </c>
    </row>
    <row r="9" spans="1:15" ht="22.05" customHeight="1" x14ac:dyDescent="0.3">
      <c r="E9" s="23" t="s">
        <v>57</v>
      </c>
      <c r="G9" s="24" t="s">
        <v>60</v>
      </c>
      <c r="I9" s="24" t="s">
        <v>61</v>
      </c>
      <c r="K9" s="24" t="s">
        <v>62</v>
      </c>
      <c r="M9" s="25" t="s">
        <v>63</v>
      </c>
    </row>
    <row r="10" spans="1:15" ht="22.05" customHeight="1" x14ac:dyDescent="0.3">
      <c r="C10" s="22" t="s">
        <v>54</v>
      </c>
      <c r="F10" s="24" t="s">
        <v>64</v>
      </c>
      <c r="H10" s="24" t="s">
        <v>65</v>
      </c>
      <c r="J10" s="24" t="s">
        <v>66</v>
      </c>
      <c r="L10" s="24" t="s">
        <v>67</v>
      </c>
      <c r="O10" s="22" t="s">
        <v>54</v>
      </c>
    </row>
    <row r="11" spans="1:15" ht="22.05" customHeight="1" x14ac:dyDescent="0.3">
      <c r="D11" s="25" t="s">
        <v>68</v>
      </c>
      <c r="G11" s="24" t="s">
        <v>69</v>
      </c>
      <c r="I11" s="24" t="s">
        <v>70</v>
      </c>
      <c r="K11" s="24" t="s">
        <v>71</v>
      </c>
      <c r="N11" s="25" t="s">
        <v>72</v>
      </c>
    </row>
    <row r="12" spans="1:15" ht="22.05" customHeight="1" x14ac:dyDescent="0.3">
      <c r="C12" s="22" t="s">
        <v>54</v>
      </c>
      <c r="F12" s="24" t="s">
        <v>73</v>
      </c>
      <c r="H12" s="24" t="s">
        <v>74</v>
      </c>
      <c r="J12" s="24" t="s">
        <v>75</v>
      </c>
      <c r="L12" s="24" t="s">
        <v>64</v>
      </c>
      <c r="O12" s="22" t="s">
        <v>54</v>
      </c>
    </row>
    <row r="13" spans="1:15" ht="22.05" customHeight="1" x14ac:dyDescent="0.3">
      <c r="E13" s="25" t="s">
        <v>76</v>
      </c>
      <c r="G13" s="24" t="s">
        <v>77</v>
      </c>
      <c r="I13" s="24" t="s">
        <v>78</v>
      </c>
      <c r="K13" s="24" t="s">
        <v>67</v>
      </c>
      <c r="M13" s="25" t="s">
        <v>76</v>
      </c>
    </row>
    <row r="14" spans="1:15" ht="22.05" customHeight="1" x14ac:dyDescent="0.3">
      <c r="D14" s="22" t="s">
        <v>54</v>
      </c>
      <c r="H14" s="24" t="s">
        <v>79</v>
      </c>
      <c r="J14" s="24" t="s">
        <v>79</v>
      </c>
      <c r="N14" s="22" t="s">
        <v>54</v>
      </c>
    </row>
    <row r="15" spans="1:15" ht="22.05" customHeight="1" x14ac:dyDescent="0.3">
      <c r="G15" s="25" t="s">
        <v>72</v>
      </c>
      <c r="K15" s="23" t="s">
        <v>57</v>
      </c>
    </row>
    <row r="16" spans="1:15" ht="22.05" customHeight="1" x14ac:dyDescent="0.3">
      <c r="F16" s="22" t="s">
        <v>54</v>
      </c>
      <c r="I16" s="23" t="s">
        <v>80</v>
      </c>
      <c r="L16" s="22" t="s">
        <v>54</v>
      </c>
    </row>
    <row r="17" spans="2:10" ht="22.05" customHeight="1" x14ac:dyDescent="0.3">
      <c r="H17" s="22" t="s">
        <v>54</v>
      </c>
      <c r="J17" s="22" t="s">
        <v>54</v>
      </c>
    </row>
    <row r="18" spans="2:10" ht="22.05" customHeight="1" x14ac:dyDescent="0.3"/>
    <row r="19" spans="2:10" x14ac:dyDescent="0.3">
      <c r="B19" s="26" t="s">
        <v>81</v>
      </c>
    </row>
    <row r="20" spans="2:10" x14ac:dyDescent="0.3">
      <c r="B20" s="27" t="s">
        <v>82</v>
      </c>
    </row>
    <row r="21" spans="2:10" x14ac:dyDescent="0.3">
      <c r="B21" s="28" t="s">
        <v>83</v>
      </c>
    </row>
    <row r="22" spans="2:10" x14ac:dyDescent="0.3">
      <c r="B22" s="29" t="s">
        <v>84</v>
      </c>
    </row>
    <row r="23" spans="2:10" x14ac:dyDescent="0.3">
      <c r="B23" s="30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9"/>
  <sheetViews>
    <sheetView tabSelected="1" workbookViewId="0">
      <pane ySplit="2" topLeftCell="A3" activePane="bottomLeft" state="frozen"/>
      <selection pane="bottomLeft" activeCell="K12" sqref="K12"/>
    </sheetView>
  </sheetViews>
  <sheetFormatPr defaultRowHeight="14.4" x14ac:dyDescent="0.3"/>
  <cols>
    <col min="1" max="1" width="7" customWidth="1"/>
    <col min="2" max="3" width="9" customWidth="1"/>
    <col min="4" max="5" width="11" customWidth="1"/>
    <col min="6" max="6" width="10" customWidth="1"/>
    <col min="7" max="7" width="8" customWidth="1"/>
    <col min="8" max="8" width="9" customWidth="1"/>
    <col min="9" max="9" width="12" customWidth="1"/>
    <col min="11" max="11" width="10" customWidth="1"/>
    <col min="12" max="12" width="9" customWidth="1"/>
  </cols>
  <sheetData>
    <row r="1" spans="1:12" ht="18" x14ac:dyDescent="0.35">
      <c r="A1" s="1" t="s">
        <v>86</v>
      </c>
    </row>
    <row r="2" spans="1:12" x14ac:dyDescent="0.3">
      <c r="A2" s="3" t="s">
        <v>87</v>
      </c>
      <c r="B2" s="3" t="s">
        <v>88</v>
      </c>
      <c r="C2" s="3" t="s">
        <v>89</v>
      </c>
      <c r="D2" s="3" t="s">
        <v>90</v>
      </c>
      <c r="E2" s="3" t="s">
        <v>91</v>
      </c>
      <c r="F2" s="3" t="s">
        <v>92</v>
      </c>
      <c r="G2" s="3" t="s">
        <v>93</v>
      </c>
      <c r="H2" s="3" t="s">
        <v>94</v>
      </c>
      <c r="I2" s="3" t="s">
        <v>95</v>
      </c>
      <c r="K2" s="2" t="s">
        <v>96</v>
      </c>
    </row>
    <row r="3" spans="1:12" x14ac:dyDescent="0.3">
      <c r="A3" s="31">
        <v>1</v>
      </c>
      <c r="B3" s="16">
        <v>0</v>
      </c>
      <c r="C3" s="16">
        <v>0</v>
      </c>
      <c r="D3" s="16">
        <f t="shared" ref="D3:D34" si="0">ROUND(SQRT(B3^2+C3^2),2)</f>
        <v>0</v>
      </c>
      <c r="E3" s="16">
        <v>84.09</v>
      </c>
      <c r="F3" s="31" t="str">
        <f t="shared" ref="F3:F34" si="1">IF(D3&lt;=$L$7,"Y","N")</f>
        <v>Y</v>
      </c>
      <c r="G3" s="32" t="str">
        <f t="shared" ref="G3:G34" si="2">IF(F3="N","-",IF(OR(E3&lt;$L$3,E3&gt;$L$4),"FAIL",IF(OR(E3&lt;$L$5,E3&gt;$L$6),"WARN","PASS")))</f>
        <v>PASS</v>
      </c>
      <c r="H3" s="31" t="str">
        <f t="shared" ref="H3:H34" si="3">IF(F3="N","-",IF(AND(E3&gt;=$L$3,E3&lt;=$L$4),"Y","N"))</f>
        <v>Y</v>
      </c>
      <c r="I3" s="16">
        <f t="shared" ref="I3:I34" si="4">IF(F3="Y",E3,"")</f>
        <v>84.09</v>
      </c>
      <c r="K3" s="33" t="s">
        <v>97</v>
      </c>
      <c r="L3" s="34">
        <v>80.75</v>
      </c>
    </row>
    <row r="4" spans="1:12" x14ac:dyDescent="0.3">
      <c r="A4" s="31">
        <v>2</v>
      </c>
      <c r="B4" s="16">
        <v>22</v>
      </c>
      <c r="C4" s="16">
        <v>0</v>
      </c>
      <c r="D4" s="16">
        <f t="shared" si="0"/>
        <v>22</v>
      </c>
      <c r="E4" s="16">
        <v>84.93</v>
      </c>
      <c r="F4" s="31" t="str">
        <f t="shared" si="1"/>
        <v>Y</v>
      </c>
      <c r="G4" s="32" t="str">
        <f t="shared" si="2"/>
        <v>PASS</v>
      </c>
      <c r="H4" s="31" t="str">
        <f t="shared" si="3"/>
        <v>Y</v>
      </c>
      <c r="I4" s="16">
        <f t="shared" si="4"/>
        <v>84.93</v>
      </c>
      <c r="K4" s="33" t="s">
        <v>98</v>
      </c>
      <c r="L4" s="34">
        <v>89.25</v>
      </c>
    </row>
    <row r="5" spans="1:12" x14ac:dyDescent="0.3">
      <c r="A5" s="31">
        <v>3</v>
      </c>
      <c r="B5" s="16">
        <v>15.56</v>
      </c>
      <c r="C5" s="16">
        <v>15.56</v>
      </c>
      <c r="D5" s="16">
        <f t="shared" si="0"/>
        <v>22.01</v>
      </c>
      <c r="E5" s="16">
        <v>84.53</v>
      </c>
      <c r="F5" s="31" t="str">
        <f t="shared" si="1"/>
        <v>Y</v>
      </c>
      <c r="G5" s="32" t="str">
        <f t="shared" si="2"/>
        <v>PASS</v>
      </c>
      <c r="H5" s="31" t="str">
        <f t="shared" si="3"/>
        <v>Y</v>
      </c>
      <c r="I5" s="16">
        <f t="shared" si="4"/>
        <v>84.53</v>
      </c>
      <c r="K5" s="33" t="s">
        <v>99</v>
      </c>
      <c r="L5" s="34">
        <v>82.45</v>
      </c>
    </row>
    <row r="6" spans="1:12" x14ac:dyDescent="0.3">
      <c r="A6" s="31">
        <v>4</v>
      </c>
      <c r="B6" s="16">
        <v>0</v>
      </c>
      <c r="C6" s="16">
        <v>22</v>
      </c>
      <c r="D6" s="16">
        <f t="shared" si="0"/>
        <v>22</v>
      </c>
      <c r="E6" s="16">
        <v>84.66</v>
      </c>
      <c r="F6" s="31" t="str">
        <f t="shared" si="1"/>
        <v>Y</v>
      </c>
      <c r="G6" s="32" t="str">
        <f t="shared" si="2"/>
        <v>PASS</v>
      </c>
      <c r="H6" s="31" t="str">
        <f t="shared" si="3"/>
        <v>Y</v>
      </c>
      <c r="I6" s="16">
        <f t="shared" si="4"/>
        <v>84.66</v>
      </c>
      <c r="K6" s="33" t="s">
        <v>100</v>
      </c>
      <c r="L6" s="34">
        <v>87.55</v>
      </c>
    </row>
    <row r="7" spans="1:12" x14ac:dyDescent="0.3">
      <c r="A7" s="31">
        <v>5</v>
      </c>
      <c r="B7" s="16">
        <v>-15.56</v>
      </c>
      <c r="C7" s="16">
        <v>15.56</v>
      </c>
      <c r="D7" s="16">
        <f t="shared" si="0"/>
        <v>22.01</v>
      </c>
      <c r="E7" s="16">
        <v>83.88</v>
      </c>
      <c r="F7" s="31" t="str">
        <f t="shared" si="1"/>
        <v>Y</v>
      </c>
      <c r="G7" s="32" t="str">
        <f t="shared" si="2"/>
        <v>PASS</v>
      </c>
      <c r="H7" s="31" t="str">
        <f t="shared" si="3"/>
        <v>Y</v>
      </c>
      <c r="I7" s="16">
        <f t="shared" si="4"/>
        <v>83.88</v>
      </c>
      <c r="K7" s="33" t="s">
        <v>101</v>
      </c>
      <c r="L7" s="34">
        <v>72</v>
      </c>
    </row>
    <row r="8" spans="1:12" x14ac:dyDescent="0.3">
      <c r="A8" s="31">
        <v>6</v>
      </c>
      <c r="B8" s="16">
        <v>-22</v>
      </c>
      <c r="C8" s="16">
        <v>0</v>
      </c>
      <c r="D8" s="16">
        <f t="shared" si="0"/>
        <v>22</v>
      </c>
      <c r="E8" s="16">
        <v>83.72</v>
      </c>
      <c r="F8" s="31" t="str">
        <f t="shared" si="1"/>
        <v>Y</v>
      </c>
      <c r="G8" s="32" t="str">
        <f t="shared" si="2"/>
        <v>PASS</v>
      </c>
      <c r="H8" s="31" t="str">
        <f t="shared" si="3"/>
        <v>Y</v>
      </c>
      <c r="I8" s="16">
        <f t="shared" si="4"/>
        <v>83.72</v>
      </c>
    </row>
    <row r="9" spans="1:12" x14ac:dyDescent="0.3">
      <c r="A9" s="31">
        <v>7</v>
      </c>
      <c r="B9" s="16">
        <v>-15.56</v>
      </c>
      <c r="C9" s="16">
        <v>-15.56</v>
      </c>
      <c r="D9" s="16">
        <f t="shared" si="0"/>
        <v>22.01</v>
      </c>
      <c r="E9" s="16">
        <v>84.78</v>
      </c>
      <c r="F9" s="31" t="str">
        <f t="shared" si="1"/>
        <v>Y</v>
      </c>
      <c r="G9" s="32" t="str">
        <f t="shared" si="2"/>
        <v>PASS</v>
      </c>
      <c r="H9" s="31" t="str">
        <f t="shared" si="3"/>
        <v>Y</v>
      </c>
      <c r="I9" s="16">
        <f t="shared" si="4"/>
        <v>84.78</v>
      </c>
    </row>
    <row r="10" spans="1:12" x14ac:dyDescent="0.3">
      <c r="A10" s="31">
        <v>8</v>
      </c>
      <c r="B10" s="16">
        <v>0</v>
      </c>
      <c r="C10" s="16">
        <v>-22</v>
      </c>
      <c r="D10" s="16">
        <f t="shared" si="0"/>
        <v>22</v>
      </c>
      <c r="E10" s="16">
        <v>84.25</v>
      </c>
      <c r="F10" s="31" t="str">
        <f t="shared" si="1"/>
        <v>Y</v>
      </c>
      <c r="G10" s="32" t="str">
        <f t="shared" si="2"/>
        <v>PASS</v>
      </c>
      <c r="H10" s="31" t="str">
        <f t="shared" si="3"/>
        <v>Y</v>
      </c>
      <c r="I10" s="16">
        <f t="shared" si="4"/>
        <v>84.25</v>
      </c>
    </row>
    <row r="11" spans="1:12" x14ac:dyDescent="0.3">
      <c r="A11" s="31">
        <v>9</v>
      </c>
      <c r="B11" s="16">
        <v>15.56</v>
      </c>
      <c r="C11" s="16">
        <v>-15.56</v>
      </c>
      <c r="D11" s="16">
        <f t="shared" si="0"/>
        <v>22.01</v>
      </c>
      <c r="E11" s="16">
        <v>84.31</v>
      </c>
      <c r="F11" s="31" t="str">
        <f t="shared" si="1"/>
        <v>Y</v>
      </c>
      <c r="G11" s="32" t="str">
        <f t="shared" si="2"/>
        <v>PASS</v>
      </c>
      <c r="H11" s="31" t="str">
        <f t="shared" si="3"/>
        <v>Y</v>
      </c>
      <c r="I11" s="16">
        <f t="shared" si="4"/>
        <v>84.31</v>
      </c>
    </row>
    <row r="12" spans="1:12" x14ac:dyDescent="0.3">
      <c r="A12" s="31">
        <v>10</v>
      </c>
      <c r="B12" s="16">
        <v>38.64</v>
      </c>
      <c r="C12" s="16">
        <v>10.35</v>
      </c>
      <c r="D12" s="16">
        <f t="shared" si="0"/>
        <v>40</v>
      </c>
      <c r="E12" s="16">
        <v>85.63</v>
      </c>
      <c r="F12" s="31" t="str">
        <f t="shared" si="1"/>
        <v>Y</v>
      </c>
      <c r="G12" s="32" t="str">
        <f t="shared" si="2"/>
        <v>PASS</v>
      </c>
      <c r="H12" s="31" t="str">
        <f t="shared" si="3"/>
        <v>Y</v>
      </c>
      <c r="I12" s="16">
        <f t="shared" si="4"/>
        <v>85.63</v>
      </c>
    </row>
    <row r="13" spans="1:12" x14ac:dyDescent="0.3">
      <c r="A13" s="31">
        <v>11</v>
      </c>
      <c r="B13" s="16">
        <v>28.28</v>
      </c>
      <c r="C13" s="16">
        <v>28.28</v>
      </c>
      <c r="D13" s="16">
        <f t="shared" si="0"/>
        <v>39.99</v>
      </c>
      <c r="E13" s="16">
        <v>86.84</v>
      </c>
      <c r="F13" s="31" t="str">
        <f t="shared" si="1"/>
        <v>Y</v>
      </c>
      <c r="G13" s="32" t="str">
        <f t="shared" si="2"/>
        <v>PASS</v>
      </c>
      <c r="H13" s="31" t="str">
        <f t="shared" si="3"/>
        <v>Y</v>
      </c>
      <c r="I13" s="16">
        <f t="shared" si="4"/>
        <v>86.84</v>
      </c>
    </row>
    <row r="14" spans="1:12" x14ac:dyDescent="0.3">
      <c r="A14" s="31">
        <v>12</v>
      </c>
      <c r="B14" s="16">
        <v>10.35</v>
      </c>
      <c r="C14" s="16">
        <v>38.64</v>
      </c>
      <c r="D14" s="16">
        <f t="shared" si="0"/>
        <v>40</v>
      </c>
      <c r="E14" s="16">
        <v>86.22</v>
      </c>
      <c r="F14" s="31" t="str">
        <f t="shared" si="1"/>
        <v>Y</v>
      </c>
      <c r="G14" s="32" t="str">
        <f t="shared" si="2"/>
        <v>PASS</v>
      </c>
      <c r="H14" s="31" t="str">
        <f t="shared" si="3"/>
        <v>Y</v>
      </c>
      <c r="I14" s="16">
        <f t="shared" si="4"/>
        <v>86.22</v>
      </c>
    </row>
    <row r="15" spans="1:12" x14ac:dyDescent="0.3">
      <c r="A15" s="31">
        <v>13</v>
      </c>
      <c r="B15" s="16">
        <v>-10.35</v>
      </c>
      <c r="C15" s="16">
        <v>38.64</v>
      </c>
      <c r="D15" s="16">
        <f t="shared" si="0"/>
        <v>40</v>
      </c>
      <c r="E15" s="16">
        <v>86.13</v>
      </c>
      <c r="F15" s="31" t="str">
        <f t="shared" si="1"/>
        <v>Y</v>
      </c>
      <c r="G15" s="32" t="str">
        <f t="shared" si="2"/>
        <v>PASS</v>
      </c>
      <c r="H15" s="31" t="str">
        <f t="shared" si="3"/>
        <v>Y</v>
      </c>
      <c r="I15" s="16">
        <f t="shared" si="4"/>
        <v>86.13</v>
      </c>
    </row>
    <row r="16" spans="1:12" x14ac:dyDescent="0.3">
      <c r="A16" s="31">
        <v>14</v>
      </c>
      <c r="B16" s="16">
        <v>-28.28</v>
      </c>
      <c r="C16" s="16">
        <v>28.28</v>
      </c>
      <c r="D16" s="16">
        <f t="shared" si="0"/>
        <v>39.99</v>
      </c>
      <c r="E16" s="16">
        <v>86.87</v>
      </c>
      <c r="F16" s="31" t="str">
        <f t="shared" si="1"/>
        <v>Y</v>
      </c>
      <c r="G16" s="32" t="str">
        <f t="shared" si="2"/>
        <v>PASS</v>
      </c>
      <c r="H16" s="31" t="str">
        <f t="shared" si="3"/>
        <v>Y</v>
      </c>
      <c r="I16" s="16">
        <f t="shared" si="4"/>
        <v>86.87</v>
      </c>
    </row>
    <row r="17" spans="1:9" x14ac:dyDescent="0.3">
      <c r="A17" s="31">
        <v>15</v>
      </c>
      <c r="B17" s="16">
        <v>-38.64</v>
      </c>
      <c r="C17" s="16">
        <v>10.35</v>
      </c>
      <c r="D17" s="16">
        <f t="shared" si="0"/>
        <v>40</v>
      </c>
      <c r="E17" s="16">
        <v>86.57</v>
      </c>
      <c r="F17" s="31" t="str">
        <f t="shared" si="1"/>
        <v>Y</v>
      </c>
      <c r="G17" s="32" t="str">
        <f t="shared" si="2"/>
        <v>PASS</v>
      </c>
      <c r="H17" s="31" t="str">
        <f t="shared" si="3"/>
        <v>Y</v>
      </c>
      <c r="I17" s="16">
        <f t="shared" si="4"/>
        <v>86.57</v>
      </c>
    </row>
    <row r="18" spans="1:9" x14ac:dyDescent="0.3">
      <c r="A18" s="31">
        <v>16</v>
      </c>
      <c r="B18" s="16">
        <v>-38.64</v>
      </c>
      <c r="C18" s="16">
        <v>-10.35</v>
      </c>
      <c r="D18" s="16">
        <f t="shared" si="0"/>
        <v>40</v>
      </c>
      <c r="E18" s="16">
        <v>85.47</v>
      </c>
      <c r="F18" s="31" t="str">
        <f t="shared" si="1"/>
        <v>Y</v>
      </c>
      <c r="G18" s="32" t="str">
        <f t="shared" si="2"/>
        <v>PASS</v>
      </c>
      <c r="H18" s="31" t="str">
        <f t="shared" si="3"/>
        <v>Y</v>
      </c>
      <c r="I18" s="16">
        <f t="shared" si="4"/>
        <v>85.47</v>
      </c>
    </row>
    <row r="19" spans="1:9" x14ac:dyDescent="0.3">
      <c r="A19" s="31">
        <v>17</v>
      </c>
      <c r="B19" s="16">
        <v>-28.28</v>
      </c>
      <c r="C19" s="16">
        <v>-28.28</v>
      </c>
      <c r="D19" s="16">
        <f t="shared" si="0"/>
        <v>39.99</v>
      </c>
      <c r="E19" s="16">
        <v>85.67</v>
      </c>
      <c r="F19" s="31" t="str">
        <f t="shared" si="1"/>
        <v>Y</v>
      </c>
      <c r="G19" s="32" t="str">
        <f t="shared" si="2"/>
        <v>PASS</v>
      </c>
      <c r="H19" s="31" t="str">
        <f t="shared" si="3"/>
        <v>Y</v>
      </c>
      <c r="I19" s="16">
        <f t="shared" si="4"/>
        <v>85.67</v>
      </c>
    </row>
    <row r="20" spans="1:9" x14ac:dyDescent="0.3">
      <c r="A20" s="31">
        <v>18</v>
      </c>
      <c r="B20" s="16">
        <v>-10.35</v>
      </c>
      <c r="C20" s="16">
        <v>-38.64</v>
      </c>
      <c r="D20" s="16">
        <f t="shared" si="0"/>
        <v>40</v>
      </c>
      <c r="E20" s="16">
        <v>86.32</v>
      </c>
      <c r="F20" s="31" t="str">
        <f t="shared" si="1"/>
        <v>Y</v>
      </c>
      <c r="G20" s="32" t="str">
        <f t="shared" si="2"/>
        <v>PASS</v>
      </c>
      <c r="H20" s="31" t="str">
        <f t="shared" si="3"/>
        <v>Y</v>
      </c>
      <c r="I20" s="16">
        <f t="shared" si="4"/>
        <v>86.32</v>
      </c>
    </row>
    <row r="21" spans="1:9" x14ac:dyDescent="0.3">
      <c r="A21" s="31">
        <v>19</v>
      </c>
      <c r="B21" s="16">
        <v>10.35</v>
      </c>
      <c r="C21" s="16">
        <v>-38.64</v>
      </c>
      <c r="D21" s="16">
        <f t="shared" si="0"/>
        <v>40</v>
      </c>
      <c r="E21" s="16">
        <v>86.35</v>
      </c>
      <c r="F21" s="31" t="str">
        <f t="shared" si="1"/>
        <v>Y</v>
      </c>
      <c r="G21" s="32" t="str">
        <f t="shared" si="2"/>
        <v>PASS</v>
      </c>
      <c r="H21" s="31" t="str">
        <f t="shared" si="3"/>
        <v>Y</v>
      </c>
      <c r="I21" s="16">
        <f t="shared" si="4"/>
        <v>86.35</v>
      </c>
    </row>
    <row r="22" spans="1:9" x14ac:dyDescent="0.3">
      <c r="A22" s="31">
        <v>20</v>
      </c>
      <c r="B22" s="16">
        <v>28.28</v>
      </c>
      <c r="C22" s="16">
        <v>-28.28</v>
      </c>
      <c r="D22" s="16">
        <f t="shared" si="0"/>
        <v>39.99</v>
      </c>
      <c r="E22" s="16">
        <v>85.62</v>
      </c>
      <c r="F22" s="31" t="str">
        <f t="shared" si="1"/>
        <v>Y</v>
      </c>
      <c r="G22" s="32" t="str">
        <f t="shared" si="2"/>
        <v>PASS</v>
      </c>
      <c r="H22" s="31" t="str">
        <f t="shared" si="3"/>
        <v>Y</v>
      </c>
      <c r="I22" s="16">
        <f t="shared" si="4"/>
        <v>85.62</v>
      </c>
    </row>
    <row r="23" spans="1:9" x14ac:dyDescent="0.3">
      <c r="A23" s="31">
        <v>21</v>
      </c>
      <c r="B23" s="16">
        <v>38.64</v>
      </c>
      <c r="C23" s="16">
        <v>-10.35</v>
      </c>
      <c r="D23" s="16">
        <f t="shared" si="0"/>
        <v>40</v>
      </c>
      <c r="E23" s="16">
        <v>86.62</v>
      </c>
      <c r="F23" s="31" t="str">
        <f t="shared" si="1"/>
        <v>Y</v>
      </c>
      <c r="G23" s="32" t="str">
        <f t="shared" si="2"/>
        <v>PASS</v>
      </c>
      <c r="H23" s="31" t="str">
        <f t="shared" si="3"/>
        <v>Y</v>
      </c>
      <c r="I23" s="16">
        <f t="shared" si="4"/>
        <v>86.62</v>
      </c>
    </row>
    <row r="24" spans="1:9" x14ac:dyDescent="0.3">
      <c r="A24" s="31">
        <v>22</v>
      </c>
      <c r="B24" s="16">
        <v>58</v>
      </c>
      <c r="C24" s="16">
        <v>0</v>
      </c>
      <c r="D24" s="16">
        <f t="shared" si="0"/>
        <v>58</v>
      </c>
      <c r="E24" s="16">
        <v>89.05</v>
      </c>
      <c r="F24" s="31" t="str">
        <f t="shared" si="1"/>
        <v>Y</v>
      </c>
      <c r="G24" s="35" t="str">
        <f t="shared" si="2"/>
        <v>WARN</v>
      </c>
      <c r="H24" s="31" t="str">
        <f t="shared" si="3"/>
        <v>Y</v>
      </c>
      <c r="I24" s="16">
        <f t="shared" si="4"/>
        <v>89.05</v>
      </c>
    </row>
    <row r="25" spans="1:9" x14ac:dyDescent="0.3">
      <c r="A25" s="31">
        <v>23</v>
      </c>
      <c r="B25" s="16">
        <v>50.23</v>
      </c>
      <c r="C25" s="16">
        <v>29</v>
      </c>
      <c r="D25" s="16">
        <f t="shared" si="0"/>
        <v>58</v>
      </c>
      <c r="E25" s="16">
        <v>88.92</v>
      </c>
      <c r="F25" s="31" t="str">
        <f t="shared" si="1"/>
        <v>Y</v>
      </c>
      <c r="G25" s="35" t="str">
        <f t="shared" si="2"/>
        <v>WARN</v>
      </c>
      <c r="H25" s="31" t="str">
        <f t="shared" si="3"/>
        <v>Y</v>
      </c>
      <c r="I25" s="16">
        <f t="shared" si="4"/>
        <v>88.92</v>
      </c>
    </row>
    <row r="26" spans="1:9" x14ac:dyDescent="0.3">
      <c r="A26" s="31">
        <v>24</v>
      </c>
      <c r="B26" s="16">
        <v>29</v>
      </c>
      <c r="C26" s="16">
        <v>50.23</v>
      </c>
      <c r="D26" s="16">
        <f t="shared" si="0"/>
        <v>58</v>
      </c>
      <c r="E26" s="16">
        <v>90.07</v>
      </c>
      <c r="F26" s="31" t="str">
        <f t="shared" si="1"/>
        <v>Y</v>
      </c>
      <c r="G26" s="36" t="str">
        <f t="shared" si="2"/>
        <v>FAIL</v>
      </c>
      <c r="H26" s="31" t="str">
        <f t="shared" si="3"/>
        <v>N</v>
      </c>
      <c r="I26" s="16">
        <f t="shared" si="4"/>
        <v>90.07</v>
      </c>
    </row>
    <row r="27" spans="1:9" x14ac:dyDescent="0.3">
      <c r="A27" s="31">
        <v>25</v>
      </c>
      <c r="B27" s="16">
        <v>0</v>
      </c>
      <c r="C27" s="16">
        <v>58</v>
      </c>
      <c r="D27" s="16">
        <f t="shared" si="0"/>
        <v>58</v>
      </c>
      <c r="E27" s="16">
        <v>89.85</v>
      </c>
      <c r="F27" s="31" t="str">
        <f t="shared" si="1"/>
        <v>Y</v>
      </c>
      <c r="G27" s="36" t="str">
        <f t="shared" si="2"/>
        <v>FAIL</v>
      </c>
      <c r="H27" s="31" t="str">
        <f t="shared" si="3"/>
        <v>N</v>
      </c>
      <c r="I27" s="16">
        <f t="shared" si="4"/>
        <v>89.85</v>
      </c>
    </row>
    <row r="28" spans="1:9" x14ac:dyDescent="0.3">
      <c r="A28" s="31">
        <v>26</v>
      </c>
      <c r="B28" s="16">
        <v>-29</v>
      </c>
      <c r="C28" s="16">
        <v>50.23</v>
      </c>
      <c r="D28" s="16">
        <f t="shared" si="0"/>
        <v>58</v>
      </c>
      <c r="E28" s="16">
        <v>89.47</v>
      </c>
      <c r="F28" s="31" t="str">
        <f t="shared" si="1"/>
        <v>Y</v>
      </c>
      <c r="G28" s="36" t="str">
        <f t="shared" si="2"/>
        <v>FAIL</v>
      </c>
      <c r="H28" s="31" t="str">
        <f t="shared" si="3"/>
        <v>N</v>
      </c>
      <c r="I28" s="16">
        <f t="shared" si="4"/>
        <v>89.47</v>
      </c>
    </row>
    <row r="29" spans="1:9" x14ac:dyDescent="0.3">
      <c r="A29" s="31">
        <v>27</v>
      </c>
      <c r="B29" s="16">
        <v>-50.23</v>
      </c>
      <c r="C29" s="16">
        <v>29</v>
      </c>
      <c r="D29" s="16">
        <f t="shared" si="0"/>
        <v>58</v>
      </c>
      <c r="E29" s="16">
        <v>90.12</v>
      </c>
      <c r="F29" s="31" t="str">
        <f t="shared" si="1"/>
        <v>Y</v>
      </c>
      <c r="G29" s="36" t="str">
        <f t="shared" si="2"/>
        <v>FAIL</v>
      </c>
      <c r="H29" s="31" t="str">
        <f t="shared" si="3"/>
        <v>N</v>
      </c>
      <c r="I29" s="16">
        <f t="shared" si="4"/>
        <v>90.12</v>
      </c>
    </row>
    <row r="30" spans="1:9" x14ac:dyDescent="0.3">
      <c r="A30" s="31">
        <v>28</v>
      </c>
      <c r="B30" s="16">
        <v>-58</v>
      </c>
      <c r="C30" s="16">
        <v>0</v>
      </c>
      <c r="D30" s="16">
        <f t="shared" si="0"/>
        <v>58</v>
      </c>
      <c r="E30" s="16">
        <v>89.18</v>
      </c>
      <c r="F30" s="31" t="str">
        <f t="shared" si="1"/>
        <v>Y</v>
      </c>
      <c r="G30" s="35" t="str">
        <f t="shared" si="2"/>
        <v>WARN</v>
      </c>
      <c r="H30" s="31" t="str">
        <f t="shared" si="3"/>
        <v>Y</v>
      </c>
      <c r="I30" s="16">
        <f t="shared" si="4"/>
        <v>89.18</v>
      </c>
    </row>
    <row r="31" spans="1:9" x14ac:dyDescent="0.3">
      <c r="A31" s="31">
        <v>29</v>
      </c>
      <c r="B31" s="16">
        <v>-50.23</v>
      </c>
      <c r="C31" s="16">
        <v>-29</v>
      </c>
      <c r="D31" s="16">
        <f t="shared" si="0"/>
        <v>58</v>
      </c>
      <c r="E31" s="16">
        <v>88.68</v>
      </c>
      <c r="F31" s="31" t="str">
        <f t="shared" si="1"/>
        <v>Y</v>
      </c>
      <c r="G31" s="35" t="str">
        <f t="shared" si="2"/>
        <v>WARN</v>
      </c>
      <c r="H31" s="31" t="str">
        <f t="shared" si="3"/>
        <v>Y</v>
      </c>
      <c r="I31" s="16">
        <f t="shared" si="4"/>
        <v>88.68</v>
      </c>
    </row>
    <row r="32" spans="1:9" x14ac:dyDescent="0.3">
      <c r="A32" s="31">
        <v>30</v>
      </c>
      <c r="B32" s="16">
        <v>-29</v>
      </c>
      <c r="C32" s="16">
        <v>-50.23</v>
      </c>
      <c r="D32" s="16">
        <f t="shared" si="0"/>
        <v>58</v>
      </c>
      <c r="E32" s="16">
        <v>88.97</v>
      </c>
      <c r="F32" s="31" t="str">
        <f t="shared" si="1"/>
        <v>Y</v>
      </c>
      <c r="G32" s="35" t="str">
        <f t="shared" si="2"/>
        <v>WARN</v>
      </c>
      <c r="H32" s="31" t="str">
        <f t="shared" si="3"/>
        <v>Y</v>
      </c>
      <c r="I32" s="16">
        <f t="shared" si="4"/>
        <v>88.97</v>
      </c>
    </row>
    <row r="33" spans="1:9" x14ac:dyDescent="0.3">
      <c r="A33" s="31">
        <v>31</v>
      </c>
      <c r="B33" s="16">
        <v>0</v>
      </c>
      <c r="C33" s="16">
        <v>-58</v>
      </c>
      <c r="D33" s="16">
        <f t="shared" si="0"/>
        <v>58</v>
      </c>
      <c r="E33" s="16">
        <v>89.99</v>
      </c>
      <c r="F33" s="31" t="str">
        <f t="shared" si="1"/>
        <v>Y</v>
      </c>
      <c r="G33" s="36" t="str">
        <f t="shared" si="2"/>
        <v>FAIL</v>
      </c>
      <c r="H33" s="31" t="str">
        <f t="shared" si="3"/>
        <v>N</v>
      </c>
      <c r="I33" s="16">
        <f t="shared" si="4"/>
        <v>89.99</v>
      </c>
    </row>
    <row r="34" spans="1:9" x14ac:dyDescent="0.3">
      <c r="A34" s="31">
        <v>32</v>
      </c>
      <c r="B34" s="16">
        <v>29</v>
      </c>
      <c r="C34" s="16">
        <v>-50.23</v>
      </c>
      <c r="D34" s="16">
        <f t="shared" si="0"/>
        <v>58</v>
      </c>
      <c r="E34" s="16">
        <v>90.06</v>
      </c>
      <c r="F34" s="31" t="str">
        <f t="shared" si="1"/>
        <v>Y</v>
      </c>
      <c r="G34" s="36" t="str">
        <f t="shared" si="2"/>
        <v>FAIL</v>
      </c>
      <c r="H34" s="31" t="str">
        <f t="shared" si="3"/>
        <v>N</v>
      </c>
      <c r="I34" s="16">
        <f t="shared" si="4"/>
        <v>90.06</v>
      </c>
    </row>
    <row r="35" spans="1:9" x14ac:dyDescent="0.3">
      <c r="A35" s="31">
        <v>33</v>
      </c>
      <c r="B35" s="16">
        <v>50.23</v>
      </c>
      <c r="C35" s="16">
        <v>-29</v>
      </c>
      <c r="D35" s="16">
        <f t="shared" ref="D35:D66" si="5">ROUND(SQRT(B35^2+C35^2),2)</f>
        <v>58</v>
      </c>
      <c r="E35" s="16">
        <v>88.66</v>
      </c>
      <c r="F35" s="31" t="str">
        <f t="shared" ref="F35:F51" si="6">IF(D35&lt;=$L$7,"Y","N")</f>
        <v>Y</v>
      </c>
      <c r="G35" s="35" t="str">
        <f t="shared" ref="G35:G66" si="7">IF(F35="N","-",IF(OR(E35&lt;$L$3,E35&gt;$L$4),"FAIL",IF(OR(E35&lt;$L$5,E35&gt;$L$6),"WARN","PASS")))</f>
        <v>WARN</v>
      </c>
      <c r="H35" s="31" t="str">
        <f t="shared" ref="H35:H51" si="8">IF(F35="N","-",IF(AND(E35&gt;=$L$3,E35&lt;=$L$4),"Y","N"))</f>
        <v>Y</v>
      </c>
      <c r="I35" s="16">
        <f t="shared" ref="I35:I51" si="9">IF(F35="Y",E35,"")</f>
        <v>88.66</v>
      </c>
    </row>
    <row r="36" spans="1:9" x14ac:dyDescent="0.3">
      <c r="A36" s="31">
        <v>34</v>
      </c>
      <c r="B36" s="16">
        <v>71.6</v>
      </c>
      <c r="C36" s="16">
        <v>14.24</v>
      </c>
      <c r="D36" s="16">
        <f t="shared" si="5"/>
        <v>73</v>
      </c>
      <c r="E36" s="16">
        <v>92.03</v>
      </c>
      <c r="F36" s="31" t="str">
        <f t="shared" si="6"/>
        <v>N</v>
      </c>
      <c r="G36" s="37" t="str">
        <f t="shared" si="7"/>
        <v>-</v>
      </c>
      <c r="H36" s="31" t="str">
        <f t="shared" si="8"/>
        <v>-</v>
      </c>
      <c r="I36" s="16" t="str">
        <f t="shared" si="9"/>
        <v/>
      </c>
    </row>
    <row r="37" spans="1:9" x14ac:dyDescent="0.3">
      <c r="A37" s="31">
        <v>35</v>
      </c>
      <c r="B37" s="16">
        <v>60.7</v>
      </c>
      <c r="C37" s="16">
        <v>40.56</v>
      </c>
      <c r="D37" s="16">
        <f t="shared" si="5"/>
        <v>73</v>
      </c>
      <c r="E37" s="16">
        <v>92.81</v>
      </c>
      <c r="F37" s="31" t="str">
        <f t="shared" si="6"/>
        <v>N</v>
      </c>
      <c r="G37" s="37" t="str">
        <f t="shared" si="7"/>
        <v>-</v>
      </c>
      <c r="H37" s="31" t="str">
        <f t="shared" si="8"/>
        <v>-</v>
      </c>
      <c r="I37" s="16" t="str">
        <f t="shared" si="9"/>
        <v/>
      </c>
    </row>
    <row r="38" spans="1:9" x14ac:dyDescent="0.3">
      <c r="A38" s="31">
        <v>36</v>
      </c>
      <c r="B38" s="16">
        <v>40.56</v>
      </c>
      <c r="C38" s="16">
        <v>60.7</v>
      </c>
      <c r="D38" s="16">
        <f t="shared" si="5"/>
        <v>73</v>
      </c>
      <c r="E38" s="16">
        <v>92.18</v>
      </c>
      <c r="F38" s="31" t="str">
        <f t="shared" si="6"/>
        <v>N</v>
      </c>
      <c r="G38" s="37" t="str">
        <f t="shared" si="7"/>
        <v>-</v>
      </c>
      <c r="H38" s="31" t="str">
        <f t="shared" si="8"/>
        <v>-</v>
      </c>
      <c r="I38" s="16" t="str">
        <f t="shared" si="9"/>
        <v/>
      </c>
    </row>
    <row r="39" spans="1:9" x14ac:dyDescent="0.3">
      <c r="A39" s="31">
        <v>37</v>
      </c>
      <c r="B39" s="16">
        <v>14.24</v>
      </c>
      <c r="C39" s="16">
        <v>71.6</v>
      </c>
      <c r="D39" s="16">
        <f t="shared" si="5"/>
        <v>73</v>
      </c>
      <c r="E39" s="16">
        <v>92.47</v>
      </c>
      <c r="F39" s="31" t="str">
        <f t="shared" si="6"/>
        <v>N</v>
      </c>
      <c r="G39" s="37" t="str">
        <f t="shared" si="7"/>
        <v>-</v>
      </c>
      <c r="H39" s="31" t="str">
        <f t="shared" si="8"/>
        <v>-</v>
      </c>
      <c r="I39" s="16" t="str">
        <f t="shared" si="9"/>
        <v/>
      </c>
    </row>
    <row r="40" spans="1:9" x14ac:dyDescent="0.3">
      <c r="A40" s="31">
        <v>38</v>
      </c>
      <c r="B40" s="16">
        <v>-14.24</v>
      </c>
      <c r="C40" s="16">
        <v>71.6</v>
      </c>
      <c r="D40" s="16">
        <f t="shared" si="5"/>
        <v>73</v>
      </c>
      <c r="E40" s="16">
        <v>92.48</v>
      </c>
      <c r="F40" s="31" t="str">
        <f t="shared" si="6"/>
        <v>N</v>
      </c>
      <c r="G40" s="37" t="str">
        <f t="shared" si="7"/>
        <v>-</v>
      </c>
      <c r="H40" s="31" t="str">
        <f t="shared" si="8"/>
        <v>-</v>
      </c>
      <c r="I40" s="16" t="str">
        <f t="shared" si="9"/>
        <v/>
      </c>
    </row>
    <row r="41" spans="1:9" x14ac:dyDescent="0.3">
      <c r="A41" s="31">
        <v>39</v>
      </c>
      <c r="B41" s="16">
        <v>-40.56</v>
      </c>
      <c r="C41" s="16">
        <v>60.7</v>
      </c>
      <c r="D41" s="16">
        <f t="shared" si="5"/>
        <v>73</v>
      </c>
      <c r="E41" s="16">
        <v>93.48</v>
      </c>
      <c r="F41" s="31" t="str">
        <f t="shared" si="6"/>
        <v>N</v>
      </c>
      <c r="G41" s="37" t="str">
        <f t="shared" si="7"/>
        <v>-</v>
      </c>
      <c r="H41" s="31" t="str">
        <f t="shared" si="8"/>
        <v>-</v>
      </c>
      <c r="I41" s="16" t="str">
        <f t="shared" si="9"/>
        <v/>
      </c>
    </row>
    <row r="42" spans="1:9" x14ac:dyDescent="0.3">
      <c r="A42" s="31">
        <v>40</v>
      </c>
      <c r="B42" s="16">
        <v>-60.7</v>
      </c>
      <c r="C42" s="16">
        <v>40.56</v>
      </c>
      <c r="D42" s="16">
        <f t="shared" si="5"/>
        <v>73</v>
      </c>
      <c r="E42" s="16">
        <v>92.85</v>
      </c>
      <c r="F42" s="31" t="str">
        <f t="shared" si="6"/>
        <v>N</v>
      </c>
      <c r="G42" s="37" t="str">
        <f t="shared" si="7"/>
        <v>-</v>
      </c>
      <c r="H42" s="31" t="str">
        <f t="shared" si="8"/>
        <v>-</v>
      </c>
      <c r="I42" s="16" t="str">
        <f t="shared" si="9"/>
        <v/>
      </c>
    </row>
    <row r="43" spans="1:9" x14ac:dyDescent="0.3">
      <c r="A43" s="31">
        <v>41</v>
      </c>
      <c r="B43" s="16">
        <v>-71.6</v>
      </c>
      <c r="C43" s="16">
        <v>14.24</v>
      </c>
      <c r="D43" s="16">
        <f t="shared" si="5"/>
        <v>73</v>
      </c>
      <c r="E43" s="16">
        <v>92.52</v>
      </c>
      <c r="F43" s="31" t="str">
        <f t="shared" si="6"/>
        <v>N</v>
      </c>
      <c r="G43" s="37" t="str">
        <f t="shared" si="7"/>
        <v>-</v>
      </c>
      <c r="H43" s="31" t="str">
        <f t="shared" si="8"/>
        <v>-</v>
      </c>
      <c r="I43" s="16" t="str">
        <f t="shared" si="9"/>
        <v/>
      </c>
    </row>
    <row r="44" spans="1:9" x14ac:dyDescent="0.3">
      <c r="A44" s="31">
        <v>42</v>
      </c>
      <c r="B44" s="16">
        <v>-71.6</v>
      </c>
      <c r="C44" s="16">
        <v>-14.24</v>
      </c>
      <c r="D44" s="16">
        <f t="shared" si="5"/>
        <v>73</v>
      </c>
      <c r="E44" s="16">
        <v>92.51</v>
      </c>
      <c r="F44" s="31" t="str">
        <f t="shared" si="6"/>
        <v>N</v>
      </c>
      <c r="G44" s="37" t="str">
        <f t="shared" si="7"/>
        <v>-</v>
      </c>
      <c r="H44" s="31" t="str">
        <f t="shared" si="8"/>
        <v>-</v>
      </c>
      <c r="I44" s="16" t="str">
        <f t="shared" si="9"/>
        <v/>
      </c>
    </row>
    <row r="45" spans="1:9" x14ac:dyDescent="0.3">
      <c r="A45" s="31">
        <v>43</v>
      </c>
      <c r="B45" s="16">
        <v>-60.7</v>
      </c>
      <c r="C45" s="16">
        <v>-40.56</v>
      </c>
      <c r="D45" s="16">
        <f t="shared" si="5"/>
        <v>73</v>
      </c>
      <c r="E45" s="16">
        <v>92.64</v>
      </c>
      <c r="F45" s="31" t="str">
        <f t="shared" si="6"/>
        <v>N</v>
      </c>
      <c r="G45" s="37" t="str">
        <f t="shared" si="7"/>
        <v>-</v>
      </c>
      <c r="H45" s="31" t="str">
        <f t="shared" si="8"/>
        <v>-</v>
      </c>
      <c r="I45" s="16" t="str">
        <f t="shared" si="9"/>
        <v/>
      </c>
    </row>
    <row r="46" spans="1:9" x14ac:dyDescent="0.3">
      <c r="A46" s="31">
        <v>44</v>
      </c>
      <c r="B46" s="16">
        <v>-40.56</v>
      </c>
      <c r="C46" s="16">
        <v>-60.7</v>
      </c>
      <c r="D46" s="16">
        <f t="shared" si="5"/>
        <v>73</v>
      </c>
      <c r="E46" s="16">
        <v>92.55</v>
      </c>
      <c r="F46" s="31" t="str">
        <f t="shared" si="6"/>
        <v>N</v>
      </c>
      <c r="G46" s="37" t="str">
        <f t="shared" si="7"/>
        <v>-</v>
      </c>
      <c r="H46" s="31" t="str">
        <f t="shared" si="8"/>
        <v>-</v>
      </c>
      <c r="I46" s="16" t="str">
        <f t="shared" si="9"/>
        <v/>
      </c>
    </row>
    <row r="47" spans="1:9" x14ac:dyDescent="0.3">
      <c r="A47" s="31">
        <v>45</v>
      </c>
      <c r="B47" s="16">
        <v>-14.24</v>
      </c>
      <c r="C47" s="16">
        <v>-71.6</v>
      </c>
      <c r="D47" s="16">
        <f t="shared" si="5"/>
        <v>73</v>
      </c>
      <c r="E47" s="16">
        <v>93.02</v>
      </c>
      <c r="F47" s="31" t="str">
        <f t="shared" si="6"/>
        <v>N</v>
      </c>
      <c r="G47" s="37" t="str">
        <f t="shared" si="7"/>
        <v>-</v>
      </c>
      <c r="H47" s="31" t="str">
        <f t="shared" si="8"/>
        <v>-</v>
      </c>
      <c r="I47" s="16" t="str">
        <f t="shared" si="9"/>
        <v/>
      </c>
    </row>
    <row r="48" spans="1:9" x14ac:dyDescent="0.3">
      <c r="A48" s="31">
        <v>46</v>
      </c>
      <c r="B48" s="16">
        <v>14.24</v>
      </c>
      <c r="C48" s="16">
        <v>-71.6</v>
      </c>
      <c r="D48" s="16">
        <f t="shared" si="5"/>
        <v>73</v>
      </c>
      <c r="E48" s="16">
        <v>92.19</v>
      </c>
      <c r="F48" s="31" t="str">
        <f t="shared" si="6"/>
        <v>N</v>
      </c>
      <c r="G48" s="37" t="str">
        <f t="shared" si="7"/>
        <v>-</v>
      </c>
      <c r="H48" s="31" t="str">
        <f t="shared" si="8"/>
        <v>-</v>
      </c>
      <c r="I48" s="16" t="str">
        <f t="shared" si="9"/>
        <v/>
      </c>
    </row>
    <row r="49" spans="1:9" x14ac:dyDescent="0.3">
      <c r="A49" s="31">
        <v>47</v>
      </c>
      <c r="B49" s="16">
        <v>40.56</v>
      </c>
      <c r="C49" s="16">
        <v>-60.7</v>
      </c>
      <c r="D49" s="16">
        <f t="shared" si="5"/>
        <v>73</v>
      </c>
      <c r="E49" s="16">
        <v>92.86</v>
      </c>
      <c r="F49" s="31" t="str">
        <f t="shared" si="6"/>
        <v>N</v>
      </c>
      <c r="G49" s="37" t="str">
        <f t="shared" si="7"/>
        <v>-</v>
      </c>
      <c r="H49" s="31" t="str">
        <f t="shared" si="8"/>
        <v>-</v>
      </c>
      <c r="I49" s="16" t="str">
        <f t="shared" si="9"/>
        <v/>
      </c>
    </row>
    <row r="50" spans="1:9" x14ac:dyDescent="0.3">
      <c r="A50" s="31">
        <v>48</v>
      </c>
      <c r="B50" s="16">
        <v>60.7</v>
      </c>
      <c r="C50" s="16">
        <v>-40.56</v>
      </c>
      <c r="D50" s="16">
        <f t="shared" si="5"/>
        <v>73</v>
      </c>
      <c r="E50" s="16">
        <v>92.94</v>
      </c>
      <c r="F50" s="31" t="str">
        <f t="shared" si="6"/>
        <v>N</v>
      </c>
      <c r="G50" s="37" t="str">
        <f t="shared" si="7"/>
        <v>-</v>
      </c>
      <c r="H50" s="31" t="str">
        <f t="shared" si="8"/>
        <v>-</v>
      </c>
      <c r="I50" s="16" t="str">
        <f t="shared" si="9"/>
        <v/>
      </c>
    </row>
    <row r="51" spans="1:9" x14ac:dyDescent="0.3">
      <c r="A51" s="31">
        <v>49</v>
      </c>
      <c r="B51" s="16">
        <v>71.6</v>
      </c>
      <c r="C51" s="16">
        <v>-14.24</v>
      </c>
      <c r="D51" s="16">
        <f t="shared" si="5"/>
        <v>73</v>
      </c>
      <c r="E51" s="16">
        <v>92.12</v>
      </c>
      <c r="F51" s="31" t="str">
        <f t="shared" si="6"/>
        <v>N</v>
      </c>
      <c r="G51" s="37" t="str">
        <f t="shared" si="7"/>
        <v>-</v>
      </c>
      <c r="H51" s="31" t="str">
        <f t="shared" si="8"/>
        <v>-</v>
      </c>
      <c r="I51" s="16" t="str">
        <f t="shared" si="9"/>
        <v/>
      </c>
    </row>
    <row r="53" spans="1:9" x14ac:dyDescent="0.3">
      <c r="A53" s="41" t="s">
        <v>102</v>
      </c>
      <c r="B53" s="40"/>
      <c r="C53" s="40"/>
      <c r="D53" s="40"/>
    </row>
    <row r="54" spans="1:9" x14ac:dyDescent="0.3">
      <c r="A54" s="38" t="s">
        <v>103</v>
      </c>
      <c r="B54" s="39"/>
      <c r="C54" s="15">
        <f>COUNTIF(F3:F51,"Y")</f>
        <v>33</v>
      </c>
    </row>
    <row r="55" spans="1:9" x14ac:dyDescent="0.3">
      <c r="A55" s="38" t="s">
        <v>104</v>
      </c>
      <c r="B55" s="39"/>
      <c r="C55" s="16">
        <f>ROUND(AVERAGE(I3:I51),2)</f>
        <v>86.86</v>
      </c>
    </row>
    <row r="56" spans="1:9" x14ac:dyDescent="0.3">
      <c r="A56" s="38" t="s">
        <v>105</v>
      </c>
      <c r="B56" s="39"/>
      <c r="C56" s="16">
        <f>ROUND(MIN(I3:I51),2)</f>
        <v>83.72</v>
      </c>
    </row>
    <row r="57" spans="1:9" x14ac:dyDescent="0.3">
      <c r="A57" s="38" t="s">
        <v>106</v>
      </c>
      <c r="B57" s="39"/>
      <c r="C57" s="16">
        <f>ROUND(MAX(I3:I51),2)</f>
        <v>90.12</v>
      </c>
    </row>
    <row r="58" spans="1:9" x14ac:dyDescent="0.3">
      <c r="A58" s="38" t="s">
        <v>25</v>
      </c>
      <c r="B58" s="39"/>
      <c r="C58" s="16">
        <f>ROUND((C57-C56)/(2*C55)*100,2)</f>
        <v>3.68</v>
      </c>
    </row>
    <row r="59" spans="1:9" x14ac:dyDescent="0.3">
      <c r="A59" s="38" t="s">
        <v>107</v>
      </c>
      <c r="B59" s="39"/>
      <c r="C59" s="17">
        <f>ROUND(COUNTIF(H3:H51,"Y")/COUNTIF(F3:F51,"Y")*100,1)</f>
        <v>81.8</v>
      </c>
    </row>
  </sheetData>
  <mergeCells count="1">
    <mergeCell ref="A53:D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Lot_Summary</vt:lpstr>
      <vt:lpstr>Per_Wafer</vt:lpstr>
      <vt:lpstr>Wafer_Map</vt:lpstr>
      <vt:lpstr>Site_Detail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Lot L7734-02 Wafer Analysis</dc:title>
  <dc:creator>Metrology</dc:creator>
  <cp:lastModifiedBy>Roman Snegach</cp:lastModifiedBy>
  <dcterms:created xsi:type="dcterms:W3CDTF">2026-07-19T02:08:47Z</dcterms:created>
  <dcterms:modified xsi:type="dcterms:W3CDTF">2026-07-19T02:12:16Z</dcterms:modified>
</cp:coreProperties>
</file>