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ata" sheetId="1" state="visible" r:id="rId1"/>
    <sheet xmlns:r="http://schemas.openxmlformats.org/officeDocument/2006/relationships" name="Adjustment" sheetId="2" state="visible" r:id="rId2"/>
    <sheet xmlns:r="http://schemas.openxmlformats.org/officeDocument/2006/relationships" name="Ar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"/>
    <numFmt numFmtId="166" formatCode="0.0000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left"/>
    </xf>
    <xf numFmtId="165" fontId="2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2" fontId="2" fillId="0" borderId="1" pivotButton="0" quotePrefix="0" xfId="0"/>
    <xf numFmtId="166" fontId="2" fillId="0" borderId="1" pivotButton="0" quotePrefix="0" xfId="0"/>
    <xf numFmtId="165" fontId="1" fillId="0" borderId="1" pivotButton="0" quotePrefix="0" xfId="0"/>
    <xf numFmtId="166" fontId="1" fillId="0" borderId="1" pivotButton="0" quotePrefix="0" xfId="0"/>
    <xf numFmtId="1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</cols>
  <sheetData>
    <row r="1">
      <c r="A1" s="1" t="inlineStr">
        <is>
          <t>Parcel BLA-7  |  Closed Loop Traverse A-B-C-D-E-A  |  reduced field data</t>
        </is>
      </c>
    </row>
    <row r="3">
      <c r="A3" s="2" t="inlineStr">
        <is>
          <t>Station</t>
        </is>
      </c>
      <c r="B3" s="2" t="inlineStr">
        <is>
          <t>Measured interior angle (deg)</t>
        </is>
      </c>
      <c r="C3" s="2" t="inlineStr">
        <is>
          <t>Basis</t>
        </is>
      </c>
    </row>
    <row r="4">
      <c r="A4" s="3" t="inlineStr">
        <is>
          <t>A</t>
        </is>
      </c>
      <c r="B4" s="4" t="n">
        <v>98.005</v>
      </c>
      <c r="C4" s="5" t="inlineStr">
        <is>
          <t>interior angle, whole seconds</t>
        </is>
      </c>
    </row>
    <row r="5">
      <c r="A5" s="3" t="inlineStr">
        <is>
          <t>B</t>
        </is>
      </c>
      <c r="B5" s="4" t="n">
        <v>104.2725</v>
      </c>
      <c r="C5" s="5" t="inlineStr">
        <is>
          <t>interior angle, whole seconds</t>
        </is>
      </c>
    </row>
    <row r="6">
      <c r="A6" s="3" t="inlineStr">
        <is>
          <t>C</t>
        </is>
      </c>
      <c r="B6" s="4" t="n">
        <v>108.967778</v>
      </c>
      <c r="C6" s="5" t="inlineStr">
        <is>
          <t>reduced from deflection 71-01-56 R: 180 - 71.0322</t>
        </is>
      </c>
    </row>
    <row r="7">
      <c r="A7" s="3" t="inlineStr">
        <is>
          <t>D</t>
        </is>
      </c>
      <c r="B7" s="4" t="n">
        <v>108.858333</v>
      </c>
      <c r="C7" s="5" t="inlineStr">
        <is>
          <t>interior angle, whole seconds</t>
        </is>
      </c>
    </row>
    <row r="8">
      <c r="A8" s="3" t="inlineStr">
        <is>
          <t>E</t>
        </is>
      </c>
      <c r="B8" s="4" t="n">
        <v>119.903611</v>
      </c>
      <c r="C8" s="5" t="inlineStr">
        <is>
          <t>interior angle, whole seconds</t>
        </is>
      </c>
    </row>
    <row r="11">
      <c r="A11" s="1" t="inlineStr">
        <is>
          <t>Course horizontal distances (m)</t>
        </is>
      </c>
    </row>
    <row r="12">
      <c r="A12" s="2" t="inlineStr">
        <is>
          <t>Course</t>
        </is>
      </c>
      <c r="B12" s="2" t="inlineStr">
        <is>
          <t>Horizontal distance (m)</t>
        </is>
      </c>
      <c r="C12" s="2" t="inlineStr">
        <is>
          <t>Basis</t>
        </is>
      </c>
    </row>
    <row r="13">
      <c r="A13" s="3" t="inlineStr">
        <is>
          <t>AB</t>
        </is>
      </c>
      <c r="B13" s="6" t="n">
        <v>199.75</v>
      </c>
      <c r="C13" s="5" t="inlineStr">
        <is>
          <t>measured horizontal (EDM)</t>
        </is>
      </c>
    </row>
    <row r="14">
      <c r="A14" s="3" t="inlineStr">
        <is>
          <t>BC</t>
        </is>
      </c>
      <c r="B14" s="6" t="n">
        <v>176.55</v>
      </c>
      <c r="C14" s="5" t="inlineStr">
        <is>
          <t>measured horizontal (EDM)</t>
        </is>
      </c>
    </row>
    <row r="15">
      <c r="A15" s="3" t="inlineStr">
        <is>
          <t>CD</t>
        </is>
      </c>
      <c r="B15" s="6" t="n">
        <v>194.627</v>
      </c>
      <c r="C15" s="5" t="inlineStr">
        <is>
          <t>reduced from slope 195.37 m at 5 deg vertical: 195.37*cos(5)</t>
        </is>
      </c>
    </row>
    <row r="16">
      <c r="A16" s="3" t="inlineStr">
        <is>
          <t>DE</t>
        </is>
      </c>
      <c r="B16" s="6" t="n">
        <v>136.5</v>
      </c>
      <c r="C16" s="5" t="inlineStr">
        <is>
          <t>measured horizontal (EDM)</t>
        </is>
      </c>
    </row>
    <row r="17">
      <c r="A17" s="3" t="inlineStr">
        <is>
          <t>EA</t>
        </is>
      </c>
      <c r="B17" s="6" t="n">
        <v>195.97</v>
      </c>
      <c r="C17" s="5" t="inlineStr">
        <is>
          <t>measured horizontal (EDM)</t>
        </is>
      </c>
    </row>
    <row r="20">
      <c r="A20" s="7" t="inlineStr">
        <is>
          <t>Fixed azimuth of AB (control monument MON-3), bearing N 64-07-45 E</t>
        </is>
      </c>
    </row>
    <row r="21">
      <c r="A21" s="7" t="inlineStr">
        <is>
          <t>AB azimuth (deg)</t>
        </is>
      </c>
      <c r="B21" s="8" t="n">
        <v>64.129167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1" t="inlineStr">
        <is>
          <t>Traverse adjustment (angular closure, azimuths, lat/dep, Bowditch, coordinates)</t>
        </is>
      </c>
    </row>
    <row r="3">
      <c r="A3" s="1" t="inlineStr">
        <is>
          <t>Angular closure</t>
        </is>
      </c>
    </row>
    <row r="4">
      <c r="A4" s="7" t="inlineStr">
        <is>
          <t>Sum of interior angles (deg)</t>
        </is>
      </c>
      <c r="B4" s="4">
        <f>SUM('Field Data'!B4:B8)</f>
        <v>540.007222</v>
      </c>
    </row>
    <row r="5">
      <c r="A5" s="7" t="inlineStr">
        <is>
          <t>Required (5-2)*180</t>
        </is>
      </c>
      <c r="B5" s="3" t="n">
        <v>540</v>
      </c>
    </row>
    <row r="6">
      <c r="A6" s="7" t="inlineStr">
        <is>
          <t>Misclosure (seconds)</t>
        </is>
      </c>
      <c r="B6" s="9">
        <f>(B4-B5)*3600</f>
        <v>26</v>
      </c>
    </row>
    <row r="7">
      <c r="A7" s="7" t="inlineStr">
        <is>
          <t>Correction per angle (seconds)</t>
        </is>
      </c>
      <c r="B7" s="9">
        <f>-B6/5</f>
        <v>-5.2</v>
      </c>
    </row>
    <row r="10">
      <c r="A10" s="2" t="inlineStr">
        <is>
          <t>Course</t>
        </is>
      </c>
      <c r="B10" s="2" t="inlineStr">
        <is>
          <t>Adj azimuth (deg)</t>
        </is>
      </c>
      <c r="C10" s="2" t="inlineStr">
        <is>
          <t>Dist (m)</t>
        </is>
      </c>
      <c r="D10" s="2" t="inlineStr">
        <is>
          <t>Latitude</t>
        </is>
      </c>
      <c r="E10" s="2" t="inlineStr">
        <is>
          <t>Departure</t>
        </is>
      </c>
      <c r="F10" s="2" t="inlineStr">
        <is>
          <t>Corr lat</t>
        </is>
      </c>
      <c r="G10" s="2" t="inlineStr">
        <is>
          <t>Corr dep</t>
        </is>
      </c>
      <c r="H10" s="2" t="inlineStr">
        <is>
          <t>Adj lat</t>
        </is>
      </c>
      <c r="I10" s="2" t="inlineStr">
        <is>
          <t>Adj dep</t>
        </is>
      </c>
    </row>
    <row r="11">
      <c r="A11" s="7" t="inlineStr">
        <is>
          <t>AB</t>
        </is>
      </c>
      <c r="B11" s="4" t="n">
        <v>64.129167</v>
      </c>
      <c r="C11" s="6">
        <f>'Field Data'!B13</f>
        <v>199.75</v>
      </c>
      <c r="D11" s="10">
        <f>C11*COS(RADIANS(B11))</f>
        <v>87.1597</v>
      </c>
      <c r="E11" s="10">
        <f>C11*SIN(RADIANS(B11))</f>
        <v>179.7311</v>
      </c>
      <c r="F11" s="10">
        <f>-$D$16*C11/$C$16</f>
        <v>-0.0351</v>
      </c>
      <c r="G11" s="10">
        <f>-$E$16*C11/$C$16</f>
        <v>0.0003</v>
      </c>
      <c r="H11" s="10">
        <f>D11+F11</f>
        <v>87.1246</v>
      </c>
      <c r="I11" s="10">
        <f>E11+G11</f>
        <v>179.7313</v>
      </c>
    </row>
    <row r="12">
      <c r="A12" s="7" t="inlineStr">
        <is>
          <t>BC</t>
        </is>
      </c>
      <c r="B12" s="4" t="n">
        <v>139.858111</v>
      </c>
      <c r="C12" s="6">
        <f>'Field Data'!B14</f>
        <v>176.55</v>
      </c>
      <c r="D12" s="10">
        <f>C12*COS(RADIANS(B12))</f>
        <v>-134.9637</v>
      </c>
      <c r="E12" s="10">
        <f>C12*SIN(RADIANS(B12))</f>
        <v>113.8187</v>
      </c>
      <c r="F12" s="10">
        <f>-$D$16*C12/$C$16</f>
        <v>-0.031</v>
      </c>
      <c r="G12" s="10">
        <f>-$E$16*C12/$C$16</f>
        <v>0.0002</v>
      </c>
      <c r="H12" s="10">
        <f>D12+F12</f>
        <v>-134.9947</v>
      </c>
      <c r="I12" s="10">
        <f>E12+G12</f>
        <v>113.819</v>
      </c>
    </row>
    <row r="13">
      <c r="A13" s="7" t="inlineStr">
        <is>
          <t>CD</t>
        </is>
      </c>
      <c r="B13" s="4" t="n">
        <v>210.891778</v>
      </c>
      <c r="C13" s="6">
        <f>'Field Data'!B15</f>
        <v>194.627</v>
      </c>
      <c r="D13" s="10">
        <f>C13*COS(RADIANS(B13))</f>
        <v>-167.0169</v>
      </c>
      <c r="E13" s="10">
        <f>C13*SIN(RADIANS(B13))</f>
        <v>-99.925</v>
      </c>
      <c r="F13" s="10">
        <f>-$D$16*C13/$C$16</f>
        <v>-0.0342</v>
      </c>
      <c r="G13" s="10">
        <f>-$E$16*C13/$C$16</f>
        <v>0.0003</v>
      </c>
      <c r="H13" s="10">
        <f>D13+F13</f>
        <v>-167.0511</v>
      </c>
      <c r="I13" s="10">
        <f>E13+G13</f>
        <v>-99.9248</v>
      </c>
    </row>
    <row r="14">
      <c r="A14" s="7" t="inlineStr">
        <is>
          <t>DE</t>
        </is>
      </c>
      <c r="B14" s="4" t="n">
        <v>282.034889</v>
      </c>
      <c r="C14" s="6">
        <f>'Field Data'!B16</f>
        <v>136.5</v>
      </c>
      <c r="D14" s="10">
        <f>C14*COS(RADIANS(B14))</f>
        <v>28.4612</v>
      </c>
      <c r="E14" s="10">
        <f>C14*SIN(RADIANS(B14))</f>
        <v>-133.4998</v>
      </c>
      <c r="F14" s="10">
        <f>-$D$16*C14/$C$16</f>
        <v>-0.024</v>
      </c>
      <c r="G14" s="10">
        <f>-$E$16*C14/$C$16</f>
        <v>0.0002</v>
      </c>
      <c r="H14" s="10">
        <f>D14+F14</f>
        <v>28.4373</v>
      </c>
      <c r="I14" s="10">
        <f>E14+G14</f>
        <v>-133.4997</v>
      </c>
    </row>
    <row r="15">
      <c r="A15" s="7" t="inlineStr">
        <is>
          <t>EA</t>
        </is>
      </c>
      <c r="B15" s="4" t="n">
        <v>342.132722</v>
      </c>
      <c r="C15" s="6">
        <f>'Field Data'!B17</f>
        <v>195.97</v>
      </c>
      <c r="D15" s="10">
        <f>C15*COS(RADIANS(B15))</f>
        <v>186.5183</v>
      </c>
      <c r="E15" s="10">
        <f>C15*SIN(RADIANS(B15))</f>
        <v>-60.1262</v>
      </c>
      <c r="F15" s="10">
        <f>-$D$16*C15/$C$16</f>
        <v>-0.0344</v>
      </c>
      <c r="G15" s="10">
        <f>-$E$16*C15/$C$16</f>
        <v>0.0003</v>
      </c>
      <c r="H15" s="10">
        <f>D15+F15</f>
        <v>186.4839</v>
      </c>
      <c r="I15" s="10">
        <f>E15+G15</f>
        <v>-60.1259</v>
      </c>
    </row>
    <row r="16">
      <c r="A16" s="1" t="inlineStr">
        <is>
          <t>Sum / perimeter</t>
        </is>
      </c>
      <c r="C16" s="11">
        <f>SUM(C11:C15)</f>
        <v>903.397</v>
      </c>
      <c r="D16" s="12">
        <f>SUM(D11:D15)</f>
        <v>0.1586</v>
      </c>
      <c r="E16" s="12">
        <f>SUM(E11:E15)</f>
        <v>-0.0012</v>
      </c>
      <c r="H16" s="12">
        <f>SUM(H11:H15)</f>
        <v>0</v>
      </c>
      <c r="I16" s="12">
        <f>SUM(I11:I15)</f>
        <v>0</v>
      </c>
    </row>
    <row r="18">
      <c r="A18" s="7" t="inlineStr">
        <is>
          <t>Linear closure (m)</t>
        </is>
      </c>
      <c r="B18" s="10">
        <f>SQRT(D16^2+E16^2)</f>
        <v>0.1586</v>
      </c>
    </row>
    <row r="19">
      <c r="A19" s="7" t="inlineStr">
        <is>
          <t>Precision ratio (1:X)</t>
        </is>
      </c>
      <c r="B19" s="13">
        <f>ROUND(C16/B18,0)</f>
        <v>5696</v>
      </c>
    </row>
    <row r="21">
      <c r="A21" s="1" t="inlineStr">
        <is>
          <t>Adjusted coordinates</t>
        </is>
      </c>
    </row>
    <row r="22">
      <c r="A22" s="2" t="inlineStr">
        <is>
          <t>Station</t>
        </is>
      </c>
      <c r="B22" s="2" t="inlineStr">
        <is>
          <t>Northing (N)</t>
        </is>
      </c>
      <c r="C22" s="2" t="inlineStr">
        <is>
          <t>Easting (E)</t>
        </is>
      </c>
    </row>
    <row r="23">
      <c r="A23" s="3" t="inlineStr">
        <is>
          <t>A</t>
        </is>
      </c>
      <c r="B23" s="10" t="n">
        <v>1000</v>
      </c>
      <c r="C23" s="10" t="n">
        <v>1000</v>
      </c>
    </row>
    <row r="24">
      <c r="A24" s="3" t="inlineStr">
        <is>
          <t>B</t>
        </is>
      </c>
      <c r="B24" s="10">
        <f>B23+H11</f>
        <v>1087.1246</v>
      </c>
      <c r="C24" s="10">
        <f>C23+I11</f>
        <v>1179.7313</v>
      </c>
    </row>
    <row r="25">
      <c r="A25" s="3" t="inlineStr">
        <is>
          <t>C</t>
        </is>
      </c>
      <c r="B25" s="10">
        <f>B24+H12</f>
        <v>952.1299</v>
      </c>
      <c r="C25" s="10">
        <f>C24+I12</f>
        <v>1293.5503</v>
      </c>
    </row>
    <row r="26">
      <c r="A26" s="3" t="inlineStr">
        <is>
          <t>D</t>
        </is>
      </c>
      <c r="B26" s="10">
        <f>B25+H13</f>
        <v>785.0788</v>
      </c>
      <c r="C26" s="10">
        <f>C25+I13</f>
        <v>1193.6255</v>
      </c>
    </row>
    <row r="27">
      <c r="A27" s="3" t="inlineStr">
        <is>
          <t>E</t>
        </is>
      </c>
      <c r="B27" s="10">
        <f>B26+H14</f>
        <v>813.5161</v>
      </c>
      <c r="C27" s="10">
        <f>C26+I14</f>
        <v>1060.1259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Enclosed area by coordinate (shoelace) method</t>
        </is>
      </c>
    </row>
    <row r="3">
      <c r="A3" s="7" t="inlineStr">
        <is>
          <t>Area (m^2)</t>
        </is>
      </c>
      <c r="B3" s="6">
        <f>ABS((Adjustment!C23*Adjustment!B24-Adjustment!C24*Adjustment!B23)+(Adjustment!C24*Adjustment!B25-Adjustment!C25*Adjustment!B24)+(Adjustment!C25*Adjustment!B26-Adjustment!C26*Adjustment!B25)+(Adjustment!C26*Adjustment!B27-Adjustment!C27*Adjustment!B26)+(Adjustment!C27*Adjustment!B23-Adjustment!C23*Adjustment!B27))/2</f>
        <v>55593.121</v>
      </c>
    </row>
    <row r="4">
      <c r="A4" s="7" t="inlineStr">
        <is>
          <t>Area (hectares)</t>
        </is>
      </c>
      <c r="B4" s="10">
        <f>B3/10000</f>
        <v>5.5593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Survey</dc:creator>
  <dcterms:created xmlns:dcterms="http://purl.org/dc/terms/" xmlns:xsi="http://www.w3.org/2001/XMLSchema-instance" xsi:type="dcterms:W3CDTF">2026-07-20T16:49:08Z</dcterms:created>
  <dcterms:modified xmlns:dcterms="http://purl.org/dc/terms/" xmlns:xsi="http://www.w3.org/2001/XMLSchema-instance" xsi:type="dcterms:W3CDTF">2026-07-20T16:49:08Z</dcterms:modified>
</cp:coreProperties>
</file>