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elta-V Derivation" sheetId="2" state="visible" r:id="rId2"/>
    <sheet xmlns:r="http://schemas.openxmlformats.org/officeDocument/2006/relationships" name="Maneuver Budget" sheetId="3" state="visible" r:id="rId3"/>
    <sheet xmlns:r="http://schemas.openxmlformats.org/officeDocument/2006/relationships" name="Margin Summary" sheetId="4" state="visible" r:id="rId4"/>
    <sheet xmlns:r="http://schemas.openxmlformats.org/officeDocument/2006/relationships" name="RCS Budget" sheetId="5" state="visible" r:id="rId5"/>
    <sheet xmlns:r="http://schemas.openxmlformats.org/officeDocument/2006/relationships" name="Reconciliation" sheetId="6" state="visible" r:id="rId6"/>
    <sheet xmlns:r="http://schemas.openxmlformats.org/officeDocument/2006/relationships" name="Findings" sheetId="7" state="visible" r:id="rId7"/>
  </sheets>
  <definedNames/>
  <calcPr calcId="124519" fullCalcOnLoad="1"/>
</workbook>
</file>

<file path=xl/styles.xml><?xml version="1.0" encoding="utf-8"?>
<styleSheet xmlns="http://schemas.openxmlformats.org/spreadsheetml/2006/main">
  <numFmts count="5">
    <numFmt numFmtId="164" formatCode="0.0000"/>
    <numFmt numFmtId="165" formatCode="0.000"/>
    <numFmt numFmtId="166" formatCode="0.0"/>
    <numFmt numFmtId="167" formatCode="0.00000"/>
    <numFmt numFmtId="168" formatCode="0.0%"/>
  </numFmts>
  <fonts count="8">
    <font>
      <name val="Calibri"/>
      <family val="2"/>
      <color theme="1"/>
      <sz val="11"/>
      <scheme val="minor"/>
    </font>
    <font>
      <b val="1"/>
      <sz val="15"/>
    </font>
    <font>
      <b val="1"/>
      <sz val="11"/>
    </font>
    <font>
      <sz val="11"/>
    </font>
    <font>
      <i val="1"/>
      <sz val="10"/>
    </font>
    <font>
      <b val="1"/>
      <color rgb="FF000000"/>
      <sz val="10"/>
    </font>
    <font>
      <sz val="10"/>
    </font>
    <font>
      <b val="1"/>
      <sz val="10"/>
    </font>
  </fonts>
  <fills count="7">
    <fill>
      <patternFill/>
    </fill>
    <fill>
      <patternFill patternType="gray125"/>
    </fill>
    <fill>
      <patternFill patternType="solid">
        <fgColor rgb="FFFFF6DC"/>
      </patternFill>
    </fill>
    <fill>
      <patternFill patternType="solid">
        <fgColor rgb="FFFBE4E4"/>
      </patternFill>
    </fill>
    <fill>
      <patternFill patternType="solid">
        <fgColor rgb="FFD9D9D9"/>
      </patternFill>
    </fill>
    <fill>
      <patternFill patternType="solid">
        <fgColor rgb="FFF4F4F4"/>
      </patternFill>
    </fill>
    <fill>
      <patternFill patternType="solid">
        <fgColor rgb="FFE6F2E6"/>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BFBFBF"/>
      </left>
      <right style="thin">
        <color rgb="FFBFBFBF"/>
      </right>
      <top style="medium">
        <color rgb="FF000000"/>
      </top>
      <bottom style="thin">
        <color rgb="FFBFBFBF"/>
      </bottom>
    </border>
  </borders>
  <cellStyleXfs count="1">
    <xf numFmtId="0" fontId="0" fillId="0" borderId="0"/>
  </cellStyleXfs>
  <cellXfs count="48">
    <xf numFmtId="0" fontId="0" fillId="0" borderId="0" pivotButton="0" quotePrefix="0" xfId="0"/>
    <xf numFmtId="0" fontId="1" fillId="0" borderId="0" pivotButton="0" quotePrefix="0" xfId="0"/>
    <xf numFmtId="0" fontId="2" fillId="0" borderId="0" pivotButton="0" quotePrefix="0" xfId="0"/>
    <xf numFmtId="0" fontId="3" fillId="0" borderId="1" pivotButton="0" quotePrefix="0" xfId="0"/>
    <xf numFmtId="164" fontId="3" fillId="2" borderId="1" applyAlignment="1" pivotButton="0" quotePrefix="0" xfId="0">
      <alignment horizontal="right" vertical="center"/>
    </xf>
    <xf numFmtId="0" fontId="4" fillId="0" borderId="0" applyAlignment="1" pivotButton="0" quotePrefix="0" xfId="0">
      <alignment horizontal="left" vertical="center"/>
    </xf>
    <xf numFmtId="165" fontId="3" fillId="2" borderId="1" applyAlignment="1" pivotButton="0" quotePrefix="0" xfId="0">
      <alignment horizontal="right" vertical="center"/>
    </xf>
    <xf numFmtId="166" fontId="3" fillId="2" borderId="1" applyAlignment="1" pivotButton="0" quotePrefix="0" xfId="0">
      <alignment horizontal="right" vertical="center"/>
    </xf>
    <xf numFmtId="167" fontId="3" fillId="2" borderId="1" applyAlignment="1" pivotButton="0" quotePrefix="0" xfId="0">
      <alignment horizontal="right" vertical="center"/>
    </xf>
    <xf numFmtId="2" fontId="3" fillId="2" borderId="1" applyAlignment="1" pivotButton="0" quotePrefix="0" xfId="0">
      <alignment horizontal="right" vertical="center"/>
    </xf>
    <xf numFmtId="0" fontId="2" fillId="0" borderId="1" pivotButton="0" quotePrefix="0" xfId="0"/>
    <xf numFmtId="2" fontId="2" fillId="0" borderId="1" applyAlignment="1" pivotButton="0" quotePrefix="0" xfId="0">
      <alignment horizontal="right" vertical="center"/>
    </xf>
    <xf numFmtId="168" fontId="3" fillId="2" borderId="1" applyAlignment="1" pivotButton="0" quotePrefix="0" xfId="0">
      <alignment horizontal="right" vertical="center"/>
    </xf>
    <xf numFmtId="0" fontId="4" fillId="0" borderId="0" pivotButton="0" quotePrefix="0" xfId="0"/>
    <xf numFmtId="2" fontId="3" fillId="0" borderId="1" applyAlignment="1" pivotButton="0" quotePrefix="0" xfId="0">
      <alignment horizontal="right" vertical="center"/>
    </xf>
    <xf numFmtId="2" fontId="3" fillId="3" borderId="1" applyAlignment="1" pivotButton="0" quotePrefix="0" xfId="0">
      <alignment horizontal="right" vertical="center"/>
    </xf>
    <xf numFmtId="0" fontId="5" fillId="4" borderId="1" applyAlignment="1" pivotButton="0" quotePrefix="0" xfId="0">
      <alignment horizontal="center" vertical="center"/>
    </xf>
    <xf numFmtId="0" fontId="6" fillId="0" borderId="1" applyAlignment="1" pivotButton="0" quotePrefix="0" xfId="0">
      <alignment horizontal="center" vertical="center"/>
    </xf>
    <xf numFmtId="0" fontId="6" fillId="0" borderId="1" applyAlignment="1" pivotButton="0" quotePrefix="0" xfId="0">
      <alignment horizontal="left" vertical="center"/>
    </xf>
    <xf numFmtId="2" fontId="6" fillId="0" borderId="1" applyAlignment="1" pivotButton="0" quotePrefix="0" xfId="0">
      <alignment horizontal="right" vertical="center"/>
    </xf>
    <xf numFmtId="168" fontId="6" fillId="0" borderId="1" applyAlignment="1" pivotButton="0" quotePrefix="0" xfId="0">
      <alignment horizontal="right" vertical="center"/>
    </xf>
    <xf numFmtId="166" fontId="6" fillId="0" borderId="1" applyAlignment="1" pivotButton="0" quotePrefix="0" xfId="0">
      <alignment horizontal="right" vertical="center"/>
    </xf>
    <xf numFmtId="0" fontId="6" fillId="5" borderId="1" applyAlignment="1" pivotButton="0" quotePrefix="0" xfId="0">
      <alignment horizontal="center" vertical="center"/>
    </xf>
    <xf numFmtId="0" fontId="6" fillId="5" borderId="1" applyAlignment="1" pivotButton="0" quotePrefix="0" xfId="0">
      <alignment horizontal="left" vertical="center"/>
    </xf>
    <xf numFmtId="2" fontId="6" fillId="5" borderId="1" applyAlignment="1" pivotButton="0" quotePrefix="0" xfId="0">
      <alignment horizontal="right" vertical="center"/>
    </xf>
    <xf numFmtId="168" fontId="6" fillId="5" borderId="1" applyAlignment="1" pivotButton="0" quotePrefix="0" xfId="0">
      <alignment horizontal="right" vertical="center"/>
    </xf>
    <xf numFmtId="166" fontId="6" fillId="5" borderId="1" applyAlignment="1" pivotButton="0" quotePrefix="0" xfId="0">
      <alignment horizontal="right" vertical="center"/>
    </xf>
    <xf numFmtId="0" fontId="0" fillId="0" borderId="2" pivotButton="0" quotePrefix="0" xfId="0"/>
    <xf numFmtId="0" fontId="7" fillId="0" borderId="2" pivotButton="0" quotePrefix="0" xfId="0"/>
    <xf numFmtId="2" fontId="7" fillId="0" borderId="2" applyAlignment="1" pivotButton="0" quotePrefix="0" xfId="0">
      <alignment horizontal="right" vertical="center"/>
    </xf>
    <xf numFmtId="0" fontId="4" fillId="0" borderId="2" pivotButton="0" quotePrefix="0" xfId="0"/>
    <xf numFmtId="2" fontId="6" fillId="3" borderId="1" applyAlignment="1" pivotButton="0" quotePrefix="0" xfId="0">
      <alignment horizontal="right" vertical="center"/>
    </xf>
    <xf numFmtId="10" fontId="2" fillId="3" borderId="1" applyAlignment="1" pivotButton="0" quotePrefix="0" xfId="0">
      <alignment horizontal="right" vertical="center"/>
    </xf>
    <xf numFmtId="168" fontId="3" fillId="0" borderId="1" applyAlignment="1" pivotButton="0" quotePrefix="0" xfId="0">
      <alignment horizontal="right" vertical="center"/>
    </xf>
    <xf numFmtId="0" fontId="2" fillId="3" borderId="1" applyAlignment="1" pivotButton="0" quotePrefix="0" xfId="0">
      <alignment horizontal="right" vertical="center"/>
    </xf>
    <xf numFmtId="2" fontId="2" fillId="3" borderId="1" applyAlignment="1" pivotButton="0" quotePrefix="0" xfId="0">
      <alignment horizontal="right" vertical="center"/>
    </xf>
    <xf numFmtId="166" fontId="3" fillId="0" borderId="1" applyAlignment="1" pivotButton="0" quotePrefix="0" xfId="0">
      <alignment horizontal="right" vertical="center"/>
    </xf>
    <xf numFmtId="2" fontId="3" fillId="6" borderId="1" applyAlignment="1" pivotButton="0" quotePrefix="0" xfId="0">
      <alignment horizontal="right" vertical="center"/>
    </xf>
    <xf numFmtId="168" fontId="2" fillId="6" borderId="1" applyAlignment="1" pivotButton="0" quotePrefix="0" xfId="0">
      <alignment horizontal="right" vertical="center"/>
    </xf>
    <xf numFmtId="0" fontId="2" fillId="6" borderId="1" applyAlignment="1" pivotButton="0" quotePrefix="0" xfId="0">
      <alignment horizontal="right" vertical="center"/>
    </xf>
    <xf numFmtId="165" fontId="3" fillId="0" borderId="1" applyAlignment="1" pivotButton="0" quotePrefix="0" xfId="0">
      <alignment horizontal="right" vertical="center"/>
    </xf>
    <xf numFmtId="10" fontId="3" fillId="6" borderId="1" applyAlignment="1" pivotButton="0" quotePrefix="0" xfId="0">
      <alignment horizontal="right" vertical="center"/>
    </xf>
    <xf numFmtId="0" fontId="6" fillId="0" borderId="1" applyAlignment="1" pivotButton="0" quotePrefix="0" xfId="0">
      <alignment horizontal="left" vertical="top" wrapText="1"/>
    </xf>
    <xf numFmtId="0" fontId="6" fillId="5" borderId="1" applyAlignment="1" pivotButton="0" quotePrefix="0" xfId="0">
      <alignment horizontal="left" vertical="top" wrapText="1"/>
    </xf>
    <xf numFmtId="0" fontId="6" fillId="0" borderId="1" applyAlignment="1" pivotButton="0" quotePrefix="0" xfId="0">
      <alignment horizontal="right" vertical="center"/>
    </xf>
    <xf numFmtId="10" fontId="2" fillId="0" borderId="1" applyAlignment="1" pivotButton="0" quotePrefix="0" xfId="0">
      <alignment horizontal="right" vertical="center"/>
    </xf>
    <xf numFmtId="0" fontId="2" fillId="0" borderId="0" applyAlignment="1" pivotButton="0" quotePrefix="0" xfId="0">
      <alignment horizontal="left" vertical="top"/>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40" customWidth="1" min="1" max="1"/>
    <col width="15" customWidth="1" min="2" max="2"/>
    <col width="52" customWidth="1" min="3" max="3"/>
  </cols>
  <sheetData>
    <row r="1">
      <c r="A1" s="1" t="inlineStr">
        <is>
          <t>HTS-1 Budget Inputs</t>
        </is>
      </c>
    </row>
    <row r="3">
      <c r="A3" s="2" t="inlineStr">
        <is>
          <t>Orbit and constants</t>
        </is>
      </c>
    </row>
    <row r="4">
      <c r="A4" s="3" t="inlineStr">
        <is>
          <t>Earth gravitational parameter mu (km^3/s^2)</t>
        </is>
      </c>
      <c r="B4" s="4" t="n">
        <v>398600.4418</v>
      </c>
      <c r="C4" s="5" t="inlineStr">
        <is>
          <t>maneuver_plan, Orbit Parameters</t>
        </is>
      </c>
    </row>
    <row r="5">
      <c r="A5" s="3" t="inlineStr">
        <is>
          <t>Earth equatorial radius Re (km)</t>
        </is>
      </c>
      <c r="B5" s="6" t="n">
        <v>6378.137</v>
      </c>
      <c r="C5" s="5" t="inlineStr">
        <is>
          <t>maneuver_plan, Orbit Parameters</t>
        </is>
      </c>
    </row>
    <row r="6">
      <c r="A6" s="3" t="inlineStr">
        <is>
          <t>GTO perigee altitude hp (km)</t>
        </is>
      </c>
      <c r="B6" s="7" t="n">
        <v>200</v>
      </c>
      <c r="C6" s="5" t="inlineStr">
        <is>
          <t>launch vehicle ICD</t>
        </is>
      </c>
    </row>
    <row r="7">
      <c r="A7" s="3" t="inlineStr">
        <is>
          <t>GTO apogee altitude ha (km)</t>
        </is>
      </c>
      <c r="B7" s="7" t="n">
        <v>35786</v>
      </c>
      <c r="C7" s="5" t="inlineStr">
        <is>
          <t>apogee at GEO radius</t>
        </is>
      </c>
    </row>
    <row r="8">
      <c r="A8" s="3" t="inlineStr">
        <is>
          <t>GTO inclination i (deg)</t>
        </is>
      </c>
      <c r="B8" s="7" t="n">
        <v>27</v>
      </c>
      <c r="C8" s="5" t="inlineStr">
        <is>
          <t>removed at apogee</t>
        </is>
      </c>
    </row>
    <row r="9">
      <c r="A9" s="3" t="inlineStr">
        <is>
          <t>Graveyard altitude above GEO (km)</t>
        </is>
      </c>
      <c r="B9" s="7" t="n">
        <v>300</v>
      </c>
      <c r="C9" s="5" t="inlineStr">
        <is>
          <t>disposal target</t>
        </is>
      </c>
    </row>
    <row r="10">
      <c r="A10" s="3" t="inlineStr">
        <is>
          <t>Standard gravity g0 (m/s^2)</t>
        </is>
      </c>
      <c r="B10" s="8" t="n">
        <v>9.80665</v>
      </c>
      <c r="C10" s="5" t="inlineStr">
        <is>
          <t>for Isp to Ve</t>
        </is>
      </c>
    </row>
    <row r="11">
      <c r="A11" s="3" t="inlineStr">
        <is>
          <t>ft to m conversion</t>
        </is>
      </c>
      <c r="B11" s="4" t="n">
        <v>0.3048</v>
      </c>
      <c r="C11" s="5" t="inlineStr">
        <is>
          <t>M3 is booked in ft/s</t>
        </is>
      </c>
    </row>
    <row r="13">
      <c r="A13" s="2" t="inlineStr">
        <is>
          <t>Masses (ICD and tanking record)</t>
        </is>
      </c>
    </row>
    <row r="14">
      <c r="A14" s="3" t="inlineStr">
        <is>
          <t>Stage dry mass (kg)</t>
        </is>
      </c>
      <c r="B14" s="7" t="n">
        <v>320</v>
      </c>
      <c r="C14" s="5" t="inlineStr">
        <is>
          <t>ground rules 3</t>
        </is>
      </c>
    </row>
    <row r="15">
      <c r="A15" s="3" t="inlineStr">
        <is>
          <t>Delivered payload (kg)</t>
        </is>
      </c>
      <c r="B15" s="7" t="n">
        <v>500</v>
      </c>
      <c r="C15" s="5" t="inlineStr">
        <is>
          <t>separates right after circularization</t>
        </is>
      </c>
    </row>
    <row r="16">
      <c r="A16" s="3" t="inlineStr">
        <is>
          <t>MMH loaded (kg)</t>
        </is>
      </c>
      <c r="B16" s="9" t="n">
        <v>279.2</v>
      </c>
      <c r="C16" s="5" t="inlineStr">
        <is>
          <t>tanking record TNK-2026-114</t>
        </is>
      </c>
    </row>
    <row r="17">
      <c r="A17" s="3" t="inlineStr">
        <is>
          <t>NTO loaded (kg)</t>
        </is>
      </c>
      <c r="B17" s="9" t="n">
        <v>460.8</v>
      </c>
      <c r="C17" s="5" t="inlineStr">
        <is>
          <t>tanking record TNK-2026-114</t>
        </is>
      </c>
    </row>
    <row r="18">
      <c r="A18" s="3" t="inlineStr">
        <is>
          <t>N2H4 RCS loaded (kg)</t>
        </is>
      </c>
      <c r="B18" s="9" t="n">
        <v>9.2</v>
      </c>
      <c r="C18" s="5" t="inlineStr">
        <is>
          <t>tanking record TNK-2026-114</t>
        </is>
      </c>
    </row>
    <row r="19">
      <c r="A19" s="10" t="inlineStr">
        <is>
          <t>Main propellant loaded (kg)</t>
        </is>
      </c>
      <c r="B19" s="11">
        <f>B16+B17</f>
        <v>740</v>
      </c>
      <c r="C19" s="5" t="inlineStr">
        <is>
          <t>MMH + NTO as loaded, not the 800 kg plan</t>
        </is>
      </c>
    </row>
    <row r="20">
      <c r="A20" s="10" t="inlineStr">
        <is>
          <t>Start wet mass m0 (kg)</t>
        </is>
      </c>
      <c r="B20" s="11">
        <f>B14+B15+B19+B18</f>
        <v>1569.2</v>
      </c>
      <c r="C20" s="5" t="inlineStr">
        <is>
          <t>dry + payload + main + RCS</t>
        </is>
      </c>
    </row>
    <row r="22">
      <c r="A22" s="2" t="inlineStr">
        <is>
          <t>Engine and policy</t>
        </is>
      </c>
    </row>
    <row r="23">
      <c r="A23" s="3" t="inlineStr">
        <is>
          <t>Isp nameplate (s)</t>
        </is>
      </c>
      <c r="B23" s="7" t="n">
        <v>322</v>
      </c>
      <c r="C23" s="5" t="inlineStr">
        <is>
          <t>ground rules 4, superseded, kept for the sensitivity</t>
        </is>
      </c>
    </row>
    <row r="24">
      <c r="A24" s="3" t="inlineStr">
        <is>
          <t>Isp acceptance hot-fire (s)</t>
        </is>
      </c>
      <c r="B24" s="7" t="n">
        <v>318.5</v>
      </c>
      <c r="C24" s="5" t="inlineStr">
        <is>
          <t>as-built engine, this is the budget value</t>
        </is>
      </c>
    </row>
    <row r="25">
      <c r="A25" s="10" t="inlineStr">
        <is>
          <t>Exhaust velocity Ve (m/s)</t>
        </is>
      </c>
      <c r="B25" s="11">
        <f>B24*B10</f>
        <v>3123.42</v>
      </c>
      <c r="C25" s="5" t="inlineStr">
        <is>
          <t>Isp acceptance x g0</t>
        </is>
      </c>
    </row>
    <row r="26">
      <c r="A26" s="3" t="inlineStr">
        <is>
          <t>Mixture ratio nominal (ox/fuel)</t>
        </is>
      </c>
      <c r="B26" s="9" t="n">
        <v>1.65</v>
      </c>
      <c r="C26" s="5" t="inlineStr">
        <is>
          <t>ground rules 4</t>
        </is>
      </c>
    </row>
    <row r="27">
      <c r="A27" s="3" t="inlineStr">
        <is>
          <t>Apogee burn loss factor</t>
        </is>
      </c>
      <c r="B27" s="12" t="n">
        <v>0.015</v>
      </c>
      <c r="C27" s="5" t="inlineStr">
        <is>
          <t>finite burn and steering, main apogee burn only</t>
        </is>
      </c>
    </row>
    <row r="28">
      <c r="A28" s="3" t="inlineStr">
        <is>
          <t>Main residual (unusable) fraction</t>
        </is>
      </c>
      <c r="B28" s="12" t="n">
        <v>0.02</v>
      </c>
      <c r="C28" s="5" t="inlineStr">
        <is>
          <t>holdup and trapped, ground rules 5</t>
        </is>
      </c>
    </row>
    <row r="29">
      <c r="A29" s="3" t="inlineStr">
        <is>
          <t>RCS hydrazine budget (kg)</t>
        </is>
      </c>
      <c r="B29" s="9" t="n">
        <v>7.5</v>
      </c>
      <c r="C29" s="5" t="inlineStr">
        <is>
          <t>ground rules 6</t>
        </is>
      </c>
    </row>
    <row r="30">
      <c r="A30" s="3" t="inlineStr">
        <is>
          <t>Margin gate at pre-ship</t>
        </is>
      </c>
      <c r="B30" s="12" t="n">
        <v>0.05</v>
      </c>
      <c r="C30" s="5" t="inlineStr">
        <is>
          <t>ground rules 7</t>
        </is>
      </c>
    </row>
    <row r="31">
      <c r="A31" s="3" t="inlineStr">
        <is>
          <t>Main tank planning load (kg)</t>
        </is>
      </c>
      <c r="B31" s="7" t="n">
        <v>800</v>
      </c>
      <c r="C31" s="5" t="inlineStr">
        <is>
          <t>tank capacity basis, not what was loaded</t>
        </is>
      </c>
    </row>
    <row r="32">
      <c r="A32" s="3" t="inlineStr">
        <is>
          <t>M1 phasing dV as planned (m/s)</t>
        </is>
      </c>
      <c r="B32" s="9" t="n">
        <v>120</v>
      </c>
      <c r="C32" s="5" t="inlineStr">
        <is>
          <t>descoped, excluded from the budget</t>
        </is>
      </c>
    </row>
    <row r="33">
      <c r="A33" s="3" t="inlineStr">
        <is>
          <t>M3 GEO trim as booked (ft/s)</t>
        </is>
      </c>
      <c r="B33" s="7" t="n">
        <v>115</v>
      </c>
      <c r="C33" s="5" t="inlineStr">
        <is>
          <t>wrong unit on the maneuver sheet</t>
        </is>
      </c>
    </row>
    <row r="35">
      <c r="A35" s="13" t="inlineStr">
        <is>
          <t>Shaded cells are raw inputs taken straight from the source documents. Everything else on this workbook is computed.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44" customWidth="1" min="1" max="1"/>
    <col width="15" customWidth="1" min="2" max="2"/>
    <col width="56" customWidth="1" min="3" max="3"/>
  </cols>
  <sheetData>
    <row r="1">
      <c r="A1" s="1" t="inlineStr">
        <is>
          <t>Delta-V Derivation</t>
        </is>
      </c>
    </row>
    <row r="3">
      <c r="A3" s="2" t="inlineStr">
        <is>
          <t>Geometry</t>
        </is>
      </c>
    </row>
    <row r="4">
      <c r="A4" s="3" t="inlineStr">
        <is>
          <t>GTO perigee radius Rp (km)</t>
        </is>
      </c>
      <c r="B4" s="14">
        <f>Inputs!$B$5+Inputs!$B$6</f>
        <v>6578.14</v>
      </c>
      <c r="C4" s="5" t="inlineStr">
        <is>
          <t>Re + hp</t>
        </is>
      </c>
    </row>
    <row r="5">
      <c r="A5" s="3" t="inlineStr">
        <is>
          <t>GEO / GTO apogee radius Ra (km)</t>
        </is>
      </c>
      <c r="B5" s="14">
        <f>Inputs!$B$5+Inputs!$B$7</f>
        <v>42164.14</v>
      </c>
      <c r="C5" s="5" t="inlineStr">
        <is>
          <t>Re + ha</t>
        </is>
      </c>
    </row>
    <row r="6">
      <c r="A6" s="3" t="inlineStr">
        <is>
          <t>GTO semi-major axis a (km)</t>
        </is>
      </c>
      <c r="B6" s="14">
        <f>(B4+B5)/2</f>
        <v>24371.14</v>
      </c>
      <c r="C6" s="5" t="inlineStr">
        <is>
          <t>(Rp + Ra) / 2</t>
        </is>
      </c>
    </row>
    <row r="7">
      <c r="A7" s="3" t="inlineStr">
        <is>
          <t>Graveyard radius Rg (km)</t>
        </is>
      </c>
      <c r="B7" s="14">
        <f>B5+Inputs!$B$9</f>
        <v>42464.14</v>
      </c>
      <c r="C7" s="5" t="inlineStr">
        <is>
          <t>Ra + 300 km</t>
        </is>
      </c>
    </row>
    <row r="9">
      <c r="A9" s="2" t="inlineStr">
        <is>
          <t>M2 combined apogee insertion</t>
        </is>
      </c>
    </row>
    <row r="10">
      <c r="A10" s="3" t="inlineStr">
        <is>
          <t>Velocity at GTO apogee Va (m/s)</t>
        </is>
      </c>
      <c r="B10" s="14">
        <f>SQRT(Inputs!$B$4*(2/B5-1/B6))*1000</f>
        <v>1597.39</v>
      </c>
      <c r="C10" s="5" t="inlineStr">
        <is>
          <t>vis-viva: sqrt(mu (2/Ra - 1/a)), km/s to m/s</t>
        </is>
      </c>
    </row>
    <row r="11">
      <c r="A11" s="3" t="inlineStr">
        <is>
          <t>Circular GEO velocity Vc (m/s)</t>
        </is>
      </c>
      <c r="B11" s="14">
        <f>SQRT(Inputs!$B$4/B5)*1000</f>
        <v>3074.66</v>
      </c>
      <c r="C11" s="5" t="inlineStr">
        <is>
          <t>sqrt(mu / Ra)</t>
        </is>
      </c>
    </row>
    <row r="12">
      <c r="A12" s="10" t="inlineStr">
        <is>
          <t>M2 ideal dV (m/s)</t>
        </is>
      </c>
      <c r="B12" s="11">
        <f>SQRT(B10^2+B11^2-2*B10*B11*COS(RADIANS(Inputs!$B$8)))</f>
        <v>1803.6</v>
      </c>
      <c r="C12" s="5" t="inlineStr">
        <is>
          <t>law of cosines: sqrt(Va^2 + Vc^2 - 2 Va Vc cos i), single combined burn</t>
        </is>
      </c>
    </row>
    <row r="13">
      <c r="A13" s="3" t="inlineStr">
        <is>
          <t>If split instead (not used) (m/s)</t>
        </is>
      </c>
      <c r="B13" s="14">
        <f>(B11-B10)+2*B11*SIN(RADIANS(Inputs!$B$8/2))</f>
        <v>2912.8</v>
      </c>
      <c r="C13" s="5" t="inlineStr">
        <is>
          <t>circularize then plane change: (Vc - Va) + 2 Vc sin(i/2)</t>
        </is>
      </c>
    </row>
    <row r="14">
      <c r="A14" s="3" t="inlineStr">
        <is>
          <t>Penalty for splitting (m/s)</t>
        </is>
      </c>
      <c r="B14" s="15">
        <f>B13-B12</f>
        <v>1109.21</v>
      </c>
      <c r="C14" s="5" t="inlineStr">
        <is>
          <t>why the combined burn is the flightlike assumption</t>
        </is>
      </c>
    </row>
    <row r="16">
      <c r="A16" s="2" t="inlineStr">
        <is>
          <t>M4 disposal, two-burn Hohmann GEO to graveyard</t>
        </is>
      </c>
    </row>
    <row r="17">
      <c r="A17" s="3" t="inlineStr">
        <is>
          <t>Transfer semi-major axis (km)</t>
        </is>
      </c>
      <c r="B17" s="14">
        <f>(B5+B7)/2</f>
        <v>42314.14</v>
      </c>
      <c r="C17" s="5" t="inlineStr">
        <is>
          <t>(Ra + Rg) / 2</t>
        </is>
      </c>
    </row>
    <row r="18">
      <c r="A18" s="3" t="inlineStr">
        <is>
          <t>Transfer perigee velocity (m/s)</t>
        </is>
      </c>
      <c r="B18" s="14">
        <f>SQRT(Inputs!$B$4*(2/B5-1/B17))*1000</f>
        <v>3080.11</v>
      </c>
      <c r="C18" s="5" t="inlineStr">
        <is>
          <t>at Ra on the transfer ellipse</t>
        </is>
      </c>
    </row>
    <row r="19">
      <c r="A19" s="3" t="inlineStr">
        <is>
          <t>Transfer apogee velocity (m/s)</t>
        </is>
      </c>
      <c r="B19" s="14">
        <f>SQRT(Inputs!$B$4*(2/B7-1/B17))*1000</f>
        <v>3058.35</v>
      </c>
      <c r="C19" s="5" t="inlineStr">
        <is>
          <t>at Rg on the transfer ellipse</t>
        </is>
      </c>
    </row>
    <row r="20">
      <c r="A20" s="3" t="inlineStr">
        <is>
          <t>Circular graveyard velocity (m/s)</t>
        </is>
      </c>
      <c r="B20" s="14">
        <f>SQRT(Inputs!$B$4/B7)*1000</f>
        <v>3063.78</v>
      </c>
      <c r="C20" s="5" t="inlineStr">
        <is>
          <t>sqrt(mu / Rg)</t>
        </is>
      </c>
    </row>
    <row r="21">
      <c r="A21" s="3" t="inlineStr">
        <is>
          <t>Burn 1, raise apogee (m/s)</t>
        </is>
      </c>
      <c r="B21" s="14">
        <f>B18-B11</f>
        <v>5.44</v>
      </c>
      <c r="C21" s="5" t="inlineStr">
        <is>
          <t>transfer perigee minus Vc</t>
        </is>
      </c>
    </row>
    <row r="22">
      <c r="A22" s="3" t="inlineStr">
        <is>
          <t>Burn 2, circularize (m/s)</t>
        </is>
      </c>
      <c r="B22" s="14">
        <f>B20-B19</f>
        <v>5.44</v>
      </c>
      <c r="C22" s="5" t="inlineStr">
        <is>
          <t>graveyard circular minus transfer apogee</t>
        </is>
      </c>
    </row>
    <row r="23">
      <c r="A23" s="10" t="inlineStr">
        <is>
          <t>M4 ideal dV (m/s)</t>
        </is>
      </c>
      <c r="B23" s="11">
        <f>B21+B22</f>
        <v>10.88</v>
      </c>
      <c r="C23" s="5" t="inlineStr">
        <is>
          <t>sum of the two impulses</t>
        </is>
      </c>
    </row>
    <row r="25">
      <c r="A25" s="2" t="inlineStr">
        <is>
          <t>Given maneuvers</t>
        </is>
      </c>
    </row>
    <row r="26">
      <c r="A26" s="10" t="inlineStr">
        <is>
          <t>M3 GEO trim (m/s)</t>
        </is>
      </c>
      <c r="B26" s="11">
        <f>Inputs!$B$33*Inputs!$B$11</f>
        <v>35.05</v>
      </c>
      <c r="C26" s="5" t="inlineStr">
        <is>
          <t>115 ft/s converted</t>
        </is>
      </c>
    </row>
    <row r="27">
      <c r="A27" s="3" t="inlineStr">
        <is>
          <t>M1 phasing (m/s)</t>
        </is>
      </c>
      <c r="B27" s="15">
        <f>Inputs!$B$32</f>
        <v>120</v>
      </c>
      <c r="C27" s="5" t="inlineStr">
        <is>
          <t>descoped, carried here for traceability only, not in the budget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1" customWidth="1" min="1" max="1"/>
    <col width="44" customWidth="1" min="2" max="2"/>
    <col width="13" customWidth="1" min="3" max="3"/>
    <col width="9" customWidth="1" min="4" max="4"/>
    <col width="13" customWidth="1" min="5" max="5"/>
    <col width="15" customWidth="1" min="6" max="6"/>
    <col width="13" customWidth="1" min="7" max="7"/>
    <col width="14" customWidth="1" min="8" max="8"/>
    <col width="14" customWidth="1" min="9" max="9"/>
    <col width="40" customWidth="1" min="10" max="10"/>
  </cols>
  <sheetData>
    <row r="1">
      <c r="A1" s="1" t="inlineStr">
        <is>
          <t>Reconciled Maneuver Budget</t>
        </is>
      </c>
    </row>
    <row r="2">
      <c r="A2" s="13" t="inlineStr">
        <is>
          <t>Rocket equation, sequential. Prop used = mass before x (1 - EXP(-effective dV / Ve)). Payload comes off after M2 so M3 and M4 fly the light stage.</t>
        </is>
      </c>
    </row>
    <row r="3">
      <c r="A3" s="16" t="inlineStr">
        <is>
          <t>Maneuver</t>
        </is>
      </c>
      <c r="B3" s="16" t="inlineStr">
        <is>
          <t>Description</t>
        </is>
      </c>
      <c r="C3" s="16" t="inlineStr">
        <is>
          <t>Ideal dV (m/s)</t>
        </is>
      </c>
      <c r="D3" s="16" t="inlineStr">
        <is>
          <t>Loss</t>
        </is>
      </c>
      <c r="E3" s="16" t="inlineStr">
        <is>
          <t>Eff dV (m/s)</t>
        </is>
      </c>
      <c r="F3" s="16" t="inlineStr">
        <is>
          <t>Mass before (kg)</t>
        </is>
      </c>
      <c r="G3" s="16" t="inlineStr">
        <is>
          <t>Prop used (kg)</t>
        </is>
      </c>
      <c r="H3" s="16" t="inlineStr">
        <is>
          <t>Payload sep (kg)</t>
        </is>
      </c>
      <c r="I3" s="16" t="inlineStr">
        <is>
          <t>Mass after (kg)</t>
        </is>
      </c>
      <c r="J3" s="16" t="inlineStr">
        <is>
          <t>Basis</t>
        </is>
      </c>
    </row>
    <row r="4">
      <c r="A4" s="17" t="inlineStr">
        <is>
          <t>M2</t>
        </is>
      </c>
      <c r="B4" s="18" t="inlineStr">
        <is>
          <t>Combined apogee insertion (circularize + remove 27 deg)</t>
        </is>
      </c>
      <c r="C4" s="19">
        <f>'Delta-V Derivation'!$B$12</f>
        <v>1803.6</v>
      </c>
      <c r="D4" s="20">
        <f>Inputs!$B$27</f>
        <v>0.015</v>
      </c>
      <c r="E4" s="19">
        <f>C4*(1+D4)</f>
        <v>1830.65</v>
      </c>
      <c r="F4" s="19">
        <f>Inputs!$B$20</f>
        <v>1569.2</v>
      </c>
      <c r="G4" s="19">
        <f>F4*(1-EXP(-E4/Inputs!$B$25))</f>
        <v>695.95</v>
      </c>
      <c r="H4" s="21">
        <f>Inputs!$B$15</f>
        <v>500</v>
      </c>
      <c r="I4" s="19">
        <f>F4-G4-H4</f>
        <v>373.25</v>
      </c>
      <c r="J4" s="18" t="inlineStr">
        <is>
          <t>derived, apogee loss applies, payload separates at burn end</t>
        </is>
      </c>
    </row>
    <row r="5">
      <c r="A5" s="22" t="inlineStr">
        <is>
          <t>M3</t>
        </is>
      </c>
      <c r="B5" s="23" t="inlineStr">
        <is>
          <t>GEO trim / station acquisition</t>
        </is>
      </c>
      <c r="C5" s="24">
        <f>'Delta-V Derivation'!$B$26</f>
        <v>35.05</v>
      </c>
      <c r="D5" s="25" t="n">
        <v>0</v>
      </c>
      <c r="E5" s="24">
        <f>C5*(1+D5)</f>
        <v>35.05</v>
      </c>
      <c r="F5" s="24">
        <f>I4</f>
        <v>373.25</v>
      </c>
      <c r="G5" s="24">
        <f>F5*(1-EXP(-E5/Inputs!$B$25))</f>
        <v>4.17</v>
      </c>
      <c r="H5" s="26" t="n">
        <v>0</v>
      </c>
      <c r="I5" s="24">
        <f>F5-G5-H5</f>
        <v>369.08</v>
      </c>
      <c r="J5" s="23" t="inlineStr">
        <is>
          <t>115 ft/s converted, impulsive, no loss factor</t>
        </is>
      </c>
    </row>
    <row r="6">
      <c r="A6" s="17" t="inlineStr">
        <is>
          <t>M4</t>
        </is>
      </c>
      <c r="B6" s="18" t="inlineStr">
        <is>
          <t>Disposal to graveyard orbit</t>
        </is>
      </c>
      <c r="C6" s="19">
        <f>'Delta-V Derivation'!$B$23</f>
        <v>10.88</v>
      </c>
      <c r="D6" s="20" t="n">
        <v>0</v>
      </c>
      <c r="E6" s="19">
        <f>C6*(1+D6)</f>
        <v>10.88</v>
      </c>
      <c r="F6" s="19">
        <f>I5</f>
        <v>369.08</v>
      </c>
      <c r="G6" s="19">
        <f>F6*(1-EXP(-E6/Inputs!$B$25))</f>
        <v>1.28</v>
      </c>
      <c r="H6" s="21" t="n">
        <v>0</v>
      </c>
      <c r="I6" s="19">
        <f>F6-G6-H6</f>
        <v>367.8</v>
      </c>
      <c r="J6" s="18" t="inlineStr">
        <is>
          <t>derived, impulsive, no loss factor</t>
        </is>
      </c>
    </row>
    <row r="7">
      <c r="A7" s="27" t="n"/>
      <c r="B7" s="28" t="inlineStr">
        <is>
          <t>TOTAL main propellant required</t>
        </is>
      </c>
      <c r="C7" s="27" t="n"/>
      <c r="D7" s="27" t="n"/>
      <c r="E7" s="29">
        <f>SUM(E4:E6)</f>
        <v>1876.58</v>
      </c>
      <c r="F7" s="27" t="n"/>
      <c r="G7" s="29">
        <f>SUM(G4:G6)</f>
        <v>701.4</v>
      </c>
      <c r="H7" s="27" t="n"/>
      <c r="I7" s="27" t="n"/>
      <c r="J7" s="30" t="inlineStr">
        <is>
          <t>effective dV on the stage and the propellant it costs</t>
        </is>
      </c>
    </row>
    <row r="9">
      <c r="A9" s="2" t="inlineStr">
        <is>
          <t>Excluded from the budget</t>
        </is>
      </c>
    </row>
    <row r="10">
      <c r="A10" s="16" t="inlineStr">
        <is>
          <t>Maneuver</t>
        </is>
      </c>
      <c r="B10" s="16" t="inlineStr">
        <is>
          <t>Description</t>
        </is>
      </c>
      <c r="C10" s="16" t="inlineStr">
        <is>
          <t>Planned dV (m/s)</t>
        </is>
      </c>
      <c r="D10" s="16" t="inlineStr"/>
      <c r="E10" s="16" t="inlineStr"/>
      <c r="F10" s="16" t="inlineStr"/>
      <c r="G10" s="16" t="inlineStr"/>
      <c r="H10" s="16" t="inlineStr"/>
      <c r="I10" s="16" t="inlineStr"/>
      <c r="J10" s="16" t="inlineStr">
        <is>
          <t>Why excluded</t>
        </is>
      </c>
    </row>
    <row r="11">
      <c r="A11" s="17" t="inlineStr">
        <is>
          <t>M1</t>
        </is>
      </c>
      <c r="B11" s="18" t="inlineStr">
        <is>
          <t>Phasing burn</t>
        </is>
      </c>
      <c r="C11" s="31">
        <f>'Delta-V Derivation'!$B$27</f>
        <v>120</v>
      </c>
      <c r="J11" s="18" t="inlineStr">
        <is>
          <t>Descoped. Customer agreed to a drop-off closer to the service longitude.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42" customWidth="1" min="1" max="1"/>
    <col width="15" customWidth="1" min="2" max="2"/>
    <col width="58" customWidth="1" min="3" max="3"/>
  </cols>
  <sheetData>
    <row r="1">
      <c r="A1" s="1" t="inlineStr">
        <is>
          <t>Main Propellant Margin vs the 5% Gate</t>
        </is>
      </c>
    </row>
    <row r="3">
      <c r="A3" s="2" t="inlineStr">
        <is>
          <t>Usable vs required</t>
        </is>
      </c>
    </row>
    <row r="4">
      <c r="A4" s="3" t="inlineStr">
        <is>
          <t>Main propellant loaded (kg)</t>
        </is>
      </c>
      <c r="B4" s="14">
        <f>Inputs!$B$19</f>
        <v>740</v>
      </c>
      <c r="C4" s="5" t="inlineStr">
        <is>
          <t>MMH + NTO from the tanking record</t>
        </is>
      </c>
    </row>
    <row r="5">
      <c r="A5" s="3" t="inlineStr">
        <is>
          <t>Residual (unusable) at 2% (kg)</t>
        </is>
      </c>
      <c r="B5" s="14">
        <f>B4*Inputs!$B$28</f>
        <v>14.8</v>
      </c>
      <c r="C5" s="5" t="inlineStr">
        <is>
          <t>holdup and trapped, not available to burn</t>
        </is>
      </c>
    </row>
    <row r="6">
      <c r="A6" s="10" t="inlineStr">
        <is>
          <t>Usable main propellant (kg)</t>
        </is>
      </c>
      <c r="B6" s="11">
        <f>B4-B5</f>
        <v>725.2</v>
      </c>
      <c r="C6" s="5" t="inlineStr">
        <is>
          <t>loaded less residual</t>
        </is>
      </c>
    </row>
    <row r="7">
      <c r="A7" s="10" t="inlineStr">
        <is>
          <t>Main propellant required (kg)</t>
        </is>
      </c>
      <c r="B7" s="11">
        <f>'Maneuver Budget'!$G$7</f>
        <v>701.4</v>
      </c>
      <c r="C7" s="5" t="inlineStr">
        <is>
          <t>rocket equation total across M2, M3, M4</t>
        </is>
      </c>
    </row>
    <row r="9">
      <c r="A9" s="2" t="inlineStr">
        <is>
          <t>Margin against the gate</t>
        </is>
      </c>
    </row>
    <row r="10">
      <c r="A10" s="10" t="inlineStr">
        <is>
          <t>Margin (kg)</t>
        </is>
      </c>
      <c r="B10" s="11">
        <f>B6-B7</f>
        <v>23.8</v>
      </c>
      <c r="C10" s="5" t="inlineStr">
        <is>
          <t>usable less required</t>
        </is>
      </c>
    </row>
    <row r="11">
      <c r="A11" s="10" t="inlineStr">
        <is>
          <t>Margin (%)</t>
        </is>
      </c>
      <c r="B11" s="32">
        <f>B10/B7</f>
        <v>0.033927</v>
      </c>
      <c r="C11" s="5" t="inlineStr">
        <is>
          <t>(usable - required) / required</t>
        </is>
      </c>
    </row>
    <row r="12">
      <c r="A12" s="3" t="inlineStr">
        <is>
          <t>Gate (%)</t>
        </is>
      </c>
      <c r="B12" s="33">
        <f>Inputs!$B$30</f>
        <v>0.05</v>
      </c>
      <c r="C12" s="5" t="inlineStr">
        <is>
          <t>ground rules 7, pre-ship review</t>
        </is>
      </c>
    </row>
    <row r="13">
      <c r="A13" s="10" t="inlineStr">
        <is>
          <t>Status</t>
        </is>
      </c>
      <c r="B13" s="34" t="str">
        <f>IF(B11&gt;=B12,"MEETS GATE","UNDER GATE")</f>
        <v>UNDER GATE</v>
      </c>
      <c r="C13" s="13" t="inlineStr">
        <is>
          <t>under the gate needs a top-off or a documented waiver</t>
        </is>
      </c>
    </row>
    <row r="15">
      <c r="A15" s="2" t="inlineStr">
        <is>
          <t>Top-off to clear the gate</t>
        </is>
      </c>
    </row>
    <row r="16">
      <c r="A16" s="3" t="inlineStr">
        <is>
          <t>Usable needed at gate (kg)</t>
        </is>
      </c>
      <c r="B16" s="14">
        <f>B7*(1+B12)</f>
        <v>736.47</v>
      </c>
      <c r="C16" s="5" t="inlineStr">
        <is>
          <t>required x (1 + gate)</t>
        </is>
      </c>
    </row>
    <row r="17">
      <c r="A17" s="3" t="inlineStr">
        <is>
          <t>Loaded needed at gate (kg)</t>
        </is>
      </c>
      <c r="B17" s="14">
        <f>B16/(1-Inputs!$B$28)</f>
        <v>751.5</v>
      </c>
      <c r="C17" s="5" t="inlineStr">
        <is>
          <t>grossed back up for the 2% residual</t>
        </is>
      </c>
    </row>
    <row r="18">
      <c r="A18" s="10" t="inlineStr">
        <is>
          <t>Top-off required (kg)</t>
        </is>
      </c>
      <c r="B18" s="35">
        <f>B17-B4</f>
        <v>11.5</v>
      </c>
      <c r="C18" s="5" t="inlineStr">
        <is>
          <t>loaded needed less as-loaded</t>
        </is>
      </c>
    </row>
    <row r="19">
      <c r="A19" s="3" t="inlineStr">
        <is>
          <t>Tank planning load (kg)</t>
        </is>
      </c>
      <c r="B19" s="36">
        <f>Inputs!$B$31</f>
        <v>800</v>
      </c>
      <c r="C19" s="5" t="inlineStr">
        <is>
          <t>tanks are sized for this, so the top-off fits</t>
        </is>
      </c>
    </row>
    <row r="20">
      <c r="A20" s="3" t="inlineStr">
        <is>
          <t>Headroom after top-off (kg)</t>
        </is>
      </c>
      <c r="B20" s="37">
        <f>B19-B17</f>
        <v>48.5</v>
      </c>
      <c r="C20" s="5" t="inlineStr">
        <is>
          <t>planning load less loaded needed</t>
        </is>
      </c>
    </row>
    <row r="22">
      <c r="A22" s="2" t="inlineStr">
        <is>
          <t>Sensitivity: the same maneuvers rerun at the 322 s nameplate Isp</t>
        </is>
      </c>
    </row>
    <row r="23">
      <c r="A23" s="3" t="inlineStr">
        <is>
          <t>Ve at nameplate Isp (m/s)</t>
        </is>
      </c>
      <c r="B23" s="14">
        <f>Inputs!$B$23*Inputs!$B$10</f>
        <v>3157.74</v>
      </c>
      <c r="C23" s="5" t="inlineStr">
        <is>
          <t>322.0 s x g0</t>
        </is>
      </c>
    </row>
    <row r="24">
      <c r="A24" s="3" t="inlineStr">
        <is>
          <t>M2 propellant at nameplate (kg)</t>
        </is>
      </c>
      <c r="B24" s="14">
        <f>Inputs!$B$20*(1-EXP(-'Maneuver Budget'!E4/B23))</f>
        <v>690.37</v>
      </c>
      <c r="C24" s="5" t="inlineStr">
        <is>
          <t>m0 x (1 - EXP(-eff dV / Ve))</t>
        </is>
      </c>
    </row>
    <row r="25">
      <c r="A25" s="3" t="inlineStr">
        <is>
          <t>Mass after M2 and separation (kg)</t>
        </is>
      </c>
      <c r="B25" s="14">
        <f>Inputs!$B$20-B24-Inputs!$B$15</f>
        <v>378.83</v>
      </c>
      <c r="C25" s="5" t="inlineStr">
        <is>
          <t>m0 less M2 propellant less payload</t>
        </is>
      </c>
    </row>
    <row r="26">
      <c r="A26" s="3" t="inlineStr">
        <is>
          <t>M3 propellant at nameplate (kg)</t>
        </is>
      </c>
      <c r="B26" s="14">
        <f>B25*(1-EXP(-'Maneuver Budget'!E5/B23))</f>
        <v>4.18</v>
      </c>
      <c r="C26" s="5" t="inlineStr">
        <is>
          <t>light stage</t>
        </is>
      </c>
    </row>
    <row r="27">
      <c r="A27" s="3" t="inlineStr">
        <is>
          <t>Mass after M3 (kg)</t>
        </is>
      </c>
      <c r="B27" s="14">
        <f>B25-B26</f>
        <v>374.64</v>
      </c>
    </row>
    <row r="28">
      <c r="A28" s="3" t="inlineStr">
        <is>
          <t>M4 propellant at nameplate (kg)</t>
        </is>
      </c>
      <c r="B28" s="14">
        <f>B27*(1-EXP(-'Maneuver Budget'!E6/B23))</f>
        <v>1.29</v>
      </c>
    </row>
    <row r="29">
      <c r="A29" s="10" t="inlineStr">
        <is>
          <t>Required at nameplate Isp (kg)</t>
        </is>
      </c>
      <c r="B29" s="11">
        <f>B24+B26+B28</f>
        <v>695.84</v>
      </c>
      <c r="C29" s="5" t="inlineStr">
        <is>
          <t>sum of the three burns</t>
        </is>
      </c>
    </row>
    <row r="30">
      <c r="A30" s="10" t="inlineStr">
        <is>
          <t>Cost of the Isp shortfall (kg)</t>
        </is>
      </c>
      <c r="B30" s="35">
        <f>B7-B29</f>
        <v>5.56</v>
      </c>
      <c r="C30" s="5" t="inlineStr">
        <is>
          <t>acceptance 318.5 s against nameplate 322.0 s</t>
        </is>
      </c>
    </row>
    <row r="31">
      <c r="A31" s="10" t="inlineStr">
        <is>
          <t>Usable lost by underloading (kg)</t>
        </is>
      </c>
      <c r="B31" s="35">
        <f>(Inputs!$B$31-B4)*(1-Inputs!$B$28)</f>
        <v>58.8</v>
      </c>
      <c r="C31" s="5" t="inlineStr">
        <is>
          <t>800 kg plan less 740 kg loaded, net of residual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5" customWidth="1" min="2" max="2"/>
    <col width="52" customWidth="1" min="3" max="3"/>
  </cols>
  <sheetData>
    <row r="1">
      <c r="A1" s="1" t="inlineStr">
        <is>
          <t>RCS Hydrazine Budget</t>
        </is>
      </c>
    </row>
    <row r="2">
      <c r="A2" s="13" t="inlineStr">
        <is>
          <t>Monopropellant hydrazine, separate tank and separate feed system from the bipropellant main. It does not trade against main propellant margin.</t>
        </is>
      </c>
    </row>
    <row r="4">
      <c r="A4" s="3" t="inlineStr">
        <is>
          <t>Hydrazine loaded (kg)</t>
        </is>
      </c>
      <c r="B4" s="14">
        <f>Inputs!$B$18</f>
        <v>9.2</v>
      </c>
      <c r="C4" s="5" t="inlineStr">
        <is>
          <t>tanking record TNK-2026-114</t>
        </is>
      </c>
    </row>
    <row r="5">
      <c r="A5" s="3" t="inlineStr">
        <is>
          <t>Mission hydrazine budget (kg)</t>
        </is>
      </c>
      <c r="B5" s="14">
        <f>Inputs!$B$29</f>
        <v>7.5</v>
      </c>
      <c r="C5" s="5" t="inlineStr">
        <is>
          <t>ground rules 6</t>
        </is>
      </c>
    </row>
    <row r="6">
      <c r="A6" s="10" t="inlineStr">
        <is>
          <t>Margin (kg)</t>
        </is>
      </c>
      <c r="B6" s="11">
        <f>B4-B5</f>
        <v>1.7</v>
      </c>
      <c r="C6" s="5" t="inlineStr">
        <is>
          <t>loaded less budget</t>
        </is>
      </c>
    </row>
    <row r="7">
      <c r="A7" s="10" t="inlineStr">
        <is>
          <t>Margin (%)</t>
        </is>
      </c>
      <c r="B7" s="38">
        <f>B6/B5</f>
        <v>0.226667</v>
      </c>
      <c r="C7" s="5" t="inlineStr">
        <is>
          <t>margin / budget</t>
        </is>
      </c>
    </row>
    <row r="8">
      <c r="A8" s="10" t="inlineStr">
        <is>
          <t>Status</t>
        </is>
      </c>
      <c r="B8" s="39" t="str">
        <f>IF(B7&gt;=0,"ADEQUATE","SHORT")</f>
        <v>ADEQUATE</v>
      </c>
      <c r="C8" s="13" t="inlineStr">
        <is>
          <t>no action, RCS is not the constraint at pre-ship</t>
        </is>
      </c>
    </row>
    <row r="10">
      <c r="A10" s="2" t="inlineStr">
        <is>
          <t>Mixture ratio check on the main (as loaded vs nominal)</t>
        </is>
      </c>
    </row>
    <row r="11">
      <c r="A11" s="3" t="inlineStr">
        <is>
          <t>MMH loaded (kg)</t>
        </is>
      </c>
      <c r="B11" s="14">
        <f>Inputs!$B$16</f>
        <v>279.2</v>
      </c>
      <c r="C11" s="5" t="inlineStr">
        <is>
          <t>tanking record</t>
        </is>
      </c>
    </row>
    <row r="12">
      <c r="A12" s="3" t="inlineStr">
        <is>
          <t>NTO loaded (kg)</t>
        </is>
      </c>
      <c r="B12" s="14">
        <f>Inputs!$B$17</f>
        <v>460.8</v>
      </c>
      <c r="C12" s="5" t="inlineStr">
        <is>
          <t>tanking record</t>
        </is>
      </c>
    </row>
    <row r="13">
      <c r="A13" s="3" t="inlineStr">
        <is>
          <t>As-loaded mixture ratio (ox/fuel)</t>
        </is>
      </c>
      <c r="B13" s="40">
        <f>B12/B11</f>
        <v>1.65</v>
      </c>
      <c r="C13" s="5" t="inlineStr">
        <is>
          <t>NTO / MMH</t>
        </is>
      </c>
    </row>
    <row r="14">
      <c r="A14" s="3" t="inlineStr">
        <is>
          <t>Nominal mixture ratio</t>
        </is>
      </c>
      <c r="B14" s="14">
        <f>Inputs!$B$26</f>
        <v>1.65</v>
      </c>
      <c r="C14" s="5" t="inlineStr">
        <is>
          <t>ground rules 4</t>
        </is>
      </c>
    </row>
    <row r="15">
      <c r="A15" s="3" t="inlineStr">
        <is>
          <t>Deviation from nominal</t>
        </is>
      </c>
      <c r="B15" s="41">
        <f>B13/B14-1</f>
        <v>0.00026</v>
      </c>
      <c r="C15" s="5" t="inlineStr">
        <is>
          <t>within tanking tolerance, no blend correction taken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 customWidth="1" min="1" max="1"/>
    <col width="24" customWidth="1" min="2" max="2"/>
    <col width="40" customWidth="1" min="3" max="3"/>
    <col width="62" customWidth="1" min="4" max="4"/>
    <col width="30" customWidth="1" min="5" max="5"/>
    <col width="14" customWidth="1" min="6" max="6"/>
    <col width="52" customWidth="1" min="7" max="7"/>
  </cols>
  <sheetData>
    <row r="1">
      <c r="A1" s="1" t="inlineStr">
        <is>
          <t>Reconciliation: Plan as Booked vs Budget as Flown</t>
        </is>
      </c>
    </row>
    <row r="2">
      <c r="A2" s="13" t="inlineStr">
        <is>
          <t>Every place the source documents disagree with each other, what was used, and the number it drove. Value cells are linked to the sheet that computes them.</t>
        </is>
      </c>
    </row>
    <row r="3">
      <c r="A3" s="16" t="inlineStr">
        <is>
          <t>#</t>
        </is>
      </c>
      <c r="B3" s="16" t="inlineStr">
        <is>
          <t>Item</t>
        </is>
      </c>
      <c r="C3" s="16" t="inlineStr">
        <is>
          <t>Discrepancy in the inputs</t>
        </is>
      </c>
      <c r="D3" s="16" t="inlineStr">
        <is>
          <t>Treatment in this budget</t>
        </is>
      </c>
      <c r="E3" s="16" t="inlineStr">
        <is>
          <t>Source of record</t>
        </is>
      </c>
      <c r="F3" s="16" t="inlineStr">
        <is>
          <t>Value</t>
        </is>
      </c>
      <c r="G3" s="16" t="inlineStr">
        <is>
          <t>Units / effect</t>
        </is>
      </c>
    </row>
    <row r="4" ht="30" customHeight="1">
      <c r="A4" s="17" t="n">
        <v>1</v>
      </c>
      <c r="B4" s="42" t="inlineStr">
        <is>
          <t>M2 apogee insertion</t>
        </is>
      </c>
      <c r="C4" s="42" t="inlineStr">
        <is>
          <t>Left as DERIVE on the maneuver sheet</t>
        </is>
      </c>
      <c r="D4" s="42" t="inlineStr">
        <is>
          <t>Sized from the orbit parameters as one combined circularize plus 27 deg plane change at apogee. See Delta-V Derivation rows 10 to 12.</t>
        </is>
      </c>
      <c r="E4" s="42" t="inlineStr">
        <is>
          <t>Orbit Parameters + ground rules 2a</t>
        </is>
      </c>
      <c r="F4" s="19">
        <f>'Delta-V Derivation'!$B$12</f>
        <v>1803.6</v>
      </c>
      <c r="G4" s="42" t="inlineStr">
        <is>
          <t>m/s</t>
        </is>
      </c>
    </row>
    <row r="5" ht="30" customHeight="1">
      <c r="A5" s="22" t="n">
        <v>2</v>
      </c>
      <c r="B5" s="43" t="inlineStr">
        <is>
          <t>M4 disposal</t>
        </is>
      </c>
      <c r="C5" s="43" t="inlineStr">
        <is>
          <t>Left as DERIVE on the maneuver sheet</t>
        </is>
      </c>
      <c r="D5" s="43" t="inlineStr">
        <is>
          <t>Sized as a two-burn Hohmann from GEO to GEO plus 300 km. Both impulses summed. See Delta-V Derivation rows 17 to 23.</t>
        </is>
      </c>
      <c r="E5" s="43" t="inlineStr">
        <is>
          <t>Orbit Parameters + ground rules 2b</t>
        </is>
      </c>
      <c r="F5" s="24">
        <f>'Delta-V Derivation'!$B$23</f>
        <v>10.88</v>
      </c>
      <c r="G5" s="43" t="inlineStr">
        <is>
          <t>m/s</t>
        </is>
      </c>
    </row>
    <row r="6" ht="30" customHeight="1">
      <c r="A6" s="17" t="n">
        <v>3</v>
      </c>
      <c r="B6" s="42" t="inlineStr">
        <is>
          <t>Apogee burn structure</t>
        </is>
      </c>
      <c r="C6" s="42" t="inlineStr">
        <is>
          <t>Risk of splitting circularize and plane change</t>
        </is>
      </c>
      <c r="D6" s="42" t="inlineStr">
        <is>
          <t>Kept as a single combined burn. Splitting would have added the penalty shown and is not how the burn is flown.</t>
        </is>
      </c>
      <c r="E6" s="42" t="inlineStr">
        <is>
          <t>Ground rules 2a + GN&amp;C note</t>
        </is>
      </c>
      <c r="F6" s="19">
        <f>'Delta-V Derivation'!$B$14</f>
        <v>1109.21</v>
      </c>
      <c r="G6" s="42" t="inlineStr">
        <is>
          <t>m/s overstated if split</t>
        </is>
      </c>
    </row>
    <row r="7" ht="30" customHeight="1">
      <c r="A7" s="22" t="n">
        <v>4</v>
      </c>
      <c r="B7" s="43" t="inlineStr">
        <is>
          <t>Isp</t>
        </is>
      </c>
      <c r="C7" s="43" t="inlineStr">
        <is>
          <t>Sheet and spec carry the 322 s nameplate</t>
        </is>
      </c>
      <c r="D7" s="43" t="inlineStr">
        <is>
          <t>Used the acceptance hot-fire value for the as-built engine instead. The delivered value supersedes nameplate for budgeting.</t>
        </is>
      </c>
      <c r="E7" s="43" t="inlineStr">
        <is>
          <t>Ground rules 4 + GN&amp;C note</t>
        </is>
      </c>
      <c r="F7" s="26">
        <f>Inputs!$B$24</f>
        <v>318.5</v>
      </c>
      <c r="G7" s="43" t="inlineStr">
        <is>
          <t>s used</t>
        </is>
      </c>
    </row>
    <row r="8" ht="30" customHeight="1">
      <c r="A8" s="17" t="n">
        <v>5</v>
      </c>
      <c r="B8" s="42" t="inlineStr">
        <is>
          <t>M1 phasing</t>
        </is>
      </c>
      <c r="C8" s="42" t="inlineStr">
        <is>
          <t>Booked at 120 m/s in the maneuver plan</t>
        </is>
      </c>
      <c r="D8" s="42" t="inlineStr">
        <is>
          <t>Excluded entirely. The burn was descoped once the customer agreed to a drop-off closer to the service longitude.</t>
        </is>
      </c>
      <c r="E8" s="42" t="inlineStr">
        <is>
          <t>GN&amp;C note</t>
        </is>
      </c>
      <c r="F8" s="19">
        <f>Inputs!$B$32</f>
        <v>120</v>
      </c>
      <c r="G8" s="42" t="inlineStr">
        <is>
          <t>m/s removed</t>
        </is>
      </c>
    </row>
    <row r="9" ht="30" customHeight="1">
      <c r="A9" s="22" t="n">
        <v>6</v>
      </c>
      <c r="B9" s="43" t="inlineStr">
        <is>
          <t>M3 GEO trim</t>
        </is>
      </c>
      <c r="C9" s="43" t="inlineStr">
        <is>
          <t>Booked as 115 ft/s, pulled off an older memo</t>
        </is>
      </c>
      <c r="D9" s="43" t="inlineStr">
        <is>
          <t>Converted to metric before use. No other maneuver on the sheet is in imperial units.</t>
        </is>
      </c>
      <c r="E9" s="43" t="inlineStr">
        <is>
          <t>Maneuver Plan UoM column</t>
        </is>
      </c>
      <c r="F9" s="24">
        <f>'Delta-V Derivation'!$B$26</f>
        <v>35.05</v>
      </c>
      <c r="G9" s="43" t="inlineStr">
        <is>
          <t>m/s</t>
        </is>
      </c>
    </row>
    <row r="10" ht="30" customHeight="1">
      <c r="A10" s="17" t="n">
        <v>7</v>
      </c>
      <c r="B10" s="42" t="inlineStr">
        <is>
          <t>Payload separation</t>
        </is>
      </c>
      <c r="C10" s="42" t="inlineStr">
        <is>
          <t>Timing not shown on the maneuver sheet</t>
        </is>
      </c>
      <c r="D10" s="42" t="inlineStr">
        <is>
          <t>Separated the payload immediately after circularization, so M3 and M4 are flown on the light stage. Carrying it through would overstate propellant.</t>
        </is>
      </c>
      <c r="E10" s="42" t="inlineStr">
        <is>
          <t>Ground rules 3 + GN&amp;C note</t>
        </is>
      </c>
      <c r="F10" s="21">
        <f>Inputs!$B$15</f>
        <v>500</v>
      </c>
      <c r="G10" s="42" t="inlineStr">
        <is>
          <t>kg off after M2</t>
        </is>
      </c>
    </row>
    <row r="11" ht="30" customHeight="1">
      <c r="A11" s="22" t="n">
        <v>8</v>
      </c>
      <c r="B11" s="43" t="inlineStr">
        <is>
          <t>Main propellant quantity</t>
        </is>
      </c>
      <c r="C11" s="43" t="inlineStr">
        <is>
          <t>Plan target was 800 kg</t>
        </is>
      </c>
      <c r="D11" s="43" t="inlineStr">
        <is>
          <t>Used the as-loaded quantity from the tanking record. Loading stopped at the flowmeter target, short of the plan.</t>
        </is>
      </c>
      <c r="E11" s="43" t="inlineStr">
        <is>
          <t>Tanking record TNK-2026-114</t>
        </is>
      </c>
      <c r="F11" s="24">
        <f>Inputs!$B$19</f>
        <v>740</v>
      </c>
      <c r="G11" s="43" t="inlineStr">
        <is>
          <t>kg loaded</t>
        </is>
      </c>
    </row>
    <row r="12" ht="30" customHeight="1">
      <c r="A12" s="17" t="n">
        <v>9</v>
      </c>
      <c r="B12" s="42" t="inlineStr">
        <is>
          <t>GHe pressurant</t>
        </is>
      </c>
      <c r="C12" s="42" t="inlineStr">
        <is>
          <t>Appears on the tanking record</t>
        </is>
      </c>
      <c r="D12" s="42" t="inlineStr">
        <is>
          <t>Excluded from propellant mass. It is loaded through the GSE and is not flight propellant.</t>
        </is>
      </c>
      <c r="E12" s="42" t="inlineStr">
        <is>
          <t>Tanking record + ground rules 6</t>
        </is>
      </c>
      <c r="F12" s="44" t="inlineStr">
        <is>
          <t>n/a</t>
        </is>
      </c>
      <c r="G12" s="42" t="inlineStr">
        <is>
          <t>excluded, no mass</t>
        </is>
      </c>
    </row>
    <row r="13" ht="30" customHeight="1">
      <c r="A13" s="22" t="n">
        <v>10</v>
      </c>
      <c r="B13" s="43" t="inlineStr">
        <is>
          <t>Main residual</t>
        </is>
      </c>
      <c r="C13" s="43" t="inlineStr">
        <is>
          <t>2% holdup and trapped propellant</t>
        </is>
      </c>
      <c r="D13" s="43" t="inlineStr">
        <is>
          <t>Deducted from loaded before comparing against required. Only usable propellant counts toward margin.</t>
        </is>
      </c>
      <c r="E13" s="43" t="inlineStr">
        <is>
          <t>Ground rules 5</t>
        </is>
      </c>
      <c r="F13" s="24">
        <f>'Margin Summary'!$B$5</f>
        <v>14.8</v>
      </c>
      <c r="G13" s="43" t="inlineStr">
        <is>
          <t>kg unusable</t>
        </is>
      </c>
    </row>
    <row r="14" ht="30" customHeight="1">
      <c r="A14" s="17" t="n">
        <v>11</v>
      </c>
      <c r="B14" s="42" t="inlineStr">
        <is>
          <t>RCS hydrazine</t>
        </is>
      </c>
      <c r="C14" s="42" t="inlineStr">
        <is>
          <t>Loaded quantity differs from the budget</t>
        </is>
      </c>
      <c r="D14" s="42" t="inlineStr">
        <is>
          <t>Tracked separately from the main. Separate tank and feed system, so it does not offset main propellant margin.</t>
        </is>
      </c>
      <c r="E14" s="42" t="inlineStr">
        <is>
          <t>Tanking record + ground rules 6</t>
        </is>
      </c>
      <c r="F14" s="19">
        <f>'RCS Budget'!$B$6</f>
        <v>1.7</v>
      </c>
      <c r="G14" s="42" t="inlineStr">
        <is>
          <t>kg margin</t>
        </is>
      </c>
    </row>
    <row r="16">
      <c r="A16" s="2" t="inlineStr">
        <is>
          <t>Net effect on the budget</t>
        </is>
      </c>
    </row>
    <row r="17">
      <c r="B17" s="10" t="inlineStr">
        <is>
          <t>Total effective dV carried (m/s)</t>
        </is>
      </c>
      <c r="F17" s="11">
        <f>'Maneuver Budget'!$E$7</f>
        <v>1876.58</v>
      </c>
      <c r="G17" s="13" t="inlineStr">
        <is>
          <t>M2 with loss, plus M3 and M4 impulsive. M1 excluded.</t>
        </is>
      </c>
    </row>
    <row r="18">
      <c r="B18" s="10" t="inlineStr">
        <is>
          <t>Main propellant required (kg)</t>
        </is>
      </c>
      <c r="F18" s="11">
        <f>'Maneuver Budget'!$G$7</f>
        <v>701.4</v>
      </c>
      <c r="G18" s="13" t="inlineStr">
        <is>
          <t>rocket equation through payload separation</t>
        </is>
      </c>
    </row>
    <row r="19">
      <c r="B19" s="10" t="inlineStr">
        <is>
          <t>Usable main propellant (kg)</t>
        </is>
      </c>
      <c r="F19" s="11">
        <f>'Margin Summary'!$B$6</f>
        <v>725.2</v>
      </c>
      <c r="G19" s="13" t="inlineStr">
        <is>
          <t>as loaded less the 2% residual</t>
        </is>
      </c>
    </row>
    <row r="20">
      <c r="B20" s="10" t="inlineStr">
        <is>
          <t>Margin against the 5% gate</t>
        </is>
      </c>
      <c r="F20" s="45">
        <f>'Margin Summary'!$B$11</f>
        <v>0.033927</v>
      </c>
      <c r="G20" s="13" t="inlineStr">
        <is>
          <t>under the gate, top-off recommended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6" customWidth="1" min="1" max="1"/>
    <col width="15" customWidth="1" min="2" max="2"/>
    <col width="90" customWidth="1" min="3" max="3"/>
  </cols>
  <sheetData>
    <row r="1">
      <c r="A1" s="1" t="inlineStr">
        <is>
          <t>Findings and Recommendation</t>
        </is>
      </c>
    </row>
    <row r="2">
      <c r="A2" s="13" t="inlineStr">
        <is>
          <t>For the pre-ship review board. Numbers are linked, not retyped.</t>
        </is>
      </c>
    </row>
    <row r="4">
      <c r="A4" s="2" t="inlineStr">
        <is>
          <t>Headline</t>
        </is>
      </c>
    </row>
    <row r="5">
      <c r="A5" s="10" t="inlineStr">
        <is>
          <t>Margin status</t>
        </is>
      </c>
      <c r="B5" s="34" t="str">
        <f>'Margin Summary'!$B$13</f>
        <v>UNDER GATE</v>
      </c>
    </row>
    <row r="6">
      <c r="A6" s="10" t="inlineStr">
        <is>
          <t>Margin (%)</t>
        </is>
      </c>
      <c r="B6" s="32">
        <f>'Margin Summary'!$B$11</f>
        <v>0.033927</v>
      </c>
    </row>
    <row r="7">
      <c r="A7" s="10" t="inlineStr">
        <is>
          <t>Margin (kg)</t>
        </is>
      </c>
      <c r="B7" s="11">
        <f>'Margin Summary'!$B$10</f>
        <v>23.8</v>
      </c>
    </row>
    <row r="8">
      <c r="A8" s="10" t="inlineStr">
        <is>
          <t>Top-off recommended (kg)</t>
        </is>
      </c>
      <c r="B8" s="11">
        <f>'Margin Summary'!$B$18</f>
        <v>11.5</v>
      </c>
    </row>
    <row r="9">
      <c r="A9" s="10" t="inlineStr">
        <is>
          <t>Load to (kg)</t>
        </is>
      </c>
      <c r="B9" s="11">
        <f>'Margin Summary'!$B$17</f>
        <v>751.5</v>
      </c>
    </row>
    <row r="11" ht="60" customHeight="1">
      <c r="A11" s="46" t="inlineStr">
        <is>
          <t>Where the margin lands</t>
        </is>
      </c>
      <c r="C11" s="47" t="inlineStr">
        <is>
          <t>Usable main propellant is 725.20 kg against 701.40 kg required, a margin of 3.39% against a 5.0% gate. The stage is under the gate as loaded, so it does not clear the pre-ship criterion without action. The shortfall is modest in absolute terms, 11.50 kg of propellant, but the gate is a hard criterion and the posture is not compliant as it stands.</t>
        </is>
      </c>
    </row>
    <row r="13" ht="90" customHeight="1">
      <c r="A13" s="46" t="inlineStr">
        <is>
          <t>Delta-V basis</t>
        </is>
      </c>
      <c r="C13" s="47" t="inlineStr">
        <is>
          <t>The apogee insertion is a single combined maneuver at GEO radius: circularize and remove the full 27 degrees in one burn, giving 1803.60 m/s ideal from the GTO apogee velocity of 1597.39 m/s and the GEO circular velocity of 3074.66 m/s. With the 1.5% finite-burn and steering loss this becomes 1830.65 m/s. Disposal to the graveyard 300 km above GEO is a two-burn Hohmann totalling 10.88 m/s. The GEO trim is 35.05 m/s once the 115 ft/s booking is converted. Total effective delta-V carried is 1876.58 m/s.</t>
        </is>
      </c>
    </row>
    <row r="15" ht="75" customHeight="1">
      <c r="A15" s="46" t="inlineStr">
        <is>
          <t>What drove the margin down</t>
        </is>
      </c>
      <c r="C15" s="47" t="inlineStr">
        <is>
          <t>Two things, and both are traceable to the inputs rather than to the analysis. The as-built engine came back from acceptance hot-fire at 318.5 s against a 322.0 s nameplate, and that shortfall alone costs 5.56 kg of propellant on this mission. Separately, loading stopped at 740.00 kg against an 800 kg plan, which gave up 58.80 kg of usable propellant. The underload is the larger effect by an order of magnitude and it is the one that is straightforward to reverse.</t>
        </is>
      </c>
    </row>
    <row r="17" ht="90" customHeight="1">
      <c r="A17" s="46" t="inlineStr">
        <is>
          <t>Excluded and corrected items</t>
        </is>
      </c>
      <c r="C17" s="47" t="inlineStr">
        <is>
          <t>The M1 phasing burn at 120 m/s is out of the budget entirely, descoped once the customer agreed to a drop-off closer to the service longitude. The M3 trim was booked in ft/s and has been converted. The GHe on the tanking record is GSE-loaded pressurant and carries no flight propellant mass. The 500 kg payload separates immediately after circularization, so the trim and disposal burns are sized on the light stage. Splitting the apogee burn into a separate circularization and plane change would have overstated delta-V by 1109.21 m/s and was not done.</t>
        </is>
      </c>
    </row>
    <row r="19" ht="45" customHeight="1">
      <c r="A19" s="46" t="inlineStr">
        <is>
          <t>RCS</t>
        </is>
      </c>
      <c r="C19" s="47" t="inlineStr">
        <is>
          <t>Hydrazine is not a constraint. 9.20 kg loaded against a 7.50 kg mission budget gives 1.70 kg of margin, 22.7%. It sits in its own tank on its own feed system, so it cannot be traded against main propellant margin. No action.</t>
        </is>
      </c>
    </row>
    <row r="21" ht="90" customHeight="1">
      <c r="A21" s="46" t="inlineStr">
        <is>
          <t>Recommendation</t>
        </is>
      </c>
      <c r="C21" s="47" t="inlineStr">
        <is>
          <t>Top off the main propellant by 11.50 kg, to a total load of 751.50 kg, which restores the 5.0% margin exactly. The tanks are sized for an 800 kg planning load so there is 48.50 kg of headroom above the required load and the top-off is well inside capacity. If the schedule will not support a return to the pad, the fallback is a documented waiver to the 3.39% posture, and that case should carry the combined-burn assumption as a stated dependency, since the margin does not survive a split apogee burn under any load.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Helios Space</dc:creator>
  <dcterms:created xmlns:dcterms="http://purl.org/dc/terms/" xmlns:xsi="http://www.w3.org/2001/XMLSchema-instance" xsi:type="dcterms:W3CDTF">2026-08-05T01:37:02Z</dcterms:created>
  <dcterms:modified xmlns:dcterms="http://purl.org/dc/terms/" xmlns:xsi="http://www.w3.org/2001/XMLSchema-instance" xsi:type="dcterms:W3CDTF">2026-08-05T01:37:02Z</dcterms:modified>
</cp:coreProperties>
</file>