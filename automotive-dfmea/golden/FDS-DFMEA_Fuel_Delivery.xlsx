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MEA" sheetId="1" state="visible" r:id="rId1"/>
    <sheet xmlns:r="http://schemas.openxmlformats.org/officeDocument/2006/relationships" name="Detection_Map" sheetId="2" state="visible" r:id="rId2"/>
    <sheet xmlns:r="http://schemas.openxmlformats.org/officeDocument/2006/relationships" name="AP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333333"/>
      <sz val="12"/>
    </font>
    <font>
      <name val="Calibri"/>
      <b val="1"/>
      <color rgb="00FFFFFF"/>
      <sz val="10"/>
    </font>
    <font>
      <name val="Consolas"/>
      <color rgb="001A1A1A"/>
      <sz val="9"/>
    </font>
    <font>
      <name val="Calibri"/>
      <b val="1"/>
      <color rgb="002A4A6B"/>
      <sz val="14"/>
    </font>
    <font>
      <name val="Calibri"/>
      <b val="1"/>
      <color rgb="001A1A1A"/>
      <sz val="9"/>
    </font>
    <font>
      <name val="Calibri"/>
      <color rgb="001A1A1A"/>
      <sz val="9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2A4A6B"/>
      </patternFill>
    </fill>
    <fill>
      <patternFill patternType="solid">
        <fgColor rgb="00F5CBC6"/>
      </patternFill>
    </fill>
    <fill>
      <patternFill patternType="solid">
        <fgColor rgb="00FBE8C8"/>
      </patternFill>
    </fill>
    <fill>
      <patternFill patternType="solid">
        <fgColor rgb="00C9E6D4"/>
      </patternFill>
    </fill>
  </fills>
  <borders count="2">
    <border>
      <left/>
      <right/>
      <top/>
      <bottom/>
      <diagonal/>
    </border>
    <border>
      <left style="thin">
        <color rgb="00C3CDD6"/>
      </left>
      <right style="thin">
        <color rgb="00C3CDD6"/>
      </right>
      <top style="thin">
        <color rgb="00C3CDD6"/>
      </top>
      <bottom style="thin">
        <color rgb="00C3CD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1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5" customWidth="1" min="3" max="3"/>
    <col width="20" customWidth="1" min="4" max="4"/>
    <col width="26" customWidth="1" min="5" max="5"/>
    <col width="26" customWidth="1" min="6" max="6"/>
    <col width="4" customWidth="1" min="7" max="7"/>
    <col width="4" customWidth="1" min="8" max="8"/>
    <col width="26" customWidth="1" min="9" max="9"/>
    <col width="4" customWidth="1" min="10" max="10"/>
    <col width="5" customWidth="1" min="11" max="11"/>
    <col width="8" customWidth="1" min="12" max="12"/>
  </cols>
  <sheetData>
    <row r="1">
      <c r="A1" s="1" t="inlineStr">
        <is>
          <t>Fuel Delivery System - Design FMEA (AIAG-VDA)</t>
        </is>
      </c>
    </row>
    <row r="2">
      <c r="A2" s="2" t="inlineStr">
        <is>
          <t>Rank</t>
        </is>
      </c>
      <c r="B2" s="2" t="inlineStr">
        <is>
          <t>fm_id</t>
        </is>
      </c>
      <c r="C2" s="2" t="inlineStr">
        <is>
          <t>Item</t>
        </is>
      </c>
      <c r="D2" s="2" t="inlineStr">
        <is>
          <t>Function</t>
        </is>
      </c>
      <c r="E2" s="2" t="inlineStr">
        <is>
          <t>Failure Mode</t>
        </is>
      </c>
      <c r="F2" s="2" t="inlineStr">
        <is>
          <t>Effect</t>
        </is>
      </c>
      <c r="G2" s="2" t="inlineStr">
        <is>
          <t>S</t>
        </is>
      </c>
      <c r="H2" s="2" t="inlineStr">
        <is>
          <t>O</t>
        </is>
      </c>
      <c r="I2" s="2" t="inlineStr">
        <is>
          <t>Detection Control</t>
        </is>
      </c>
      <c r="J2" s="2" t="inlineStr">
        <is>
          <t>D</t>
        </is>
      </c>
      <c r="K2" s="2" t="inlineStr">
        <is>
          <t>AP</t>
        </is>
      </c>
      <c r="L2" s="2" t="inlineStr">
        <is>
          <t>Action</t>
        </is>
      </c>
    </row>
    <row r="3">
      <c r="A3" s="3" t="n">
        <v>1</v>
      </c>
      <c r="B3" s="4" t="inlineStr">
        <is>
          <t>FM-01</t>
        </is>
      </c>
      <c r="C3" s="5" t="inlineStr">
        <is>
          <t>Fuel Rail</t>
        </is>
      </c>
      <c r="D3" s="5" t="inlineStr">
        <is>
          <t>Contain pressurized fuel</t>
        </is>
      </c>
      <c r="E3" s="5" t="inlineStr">
        <is>
          <t>External fuel leak at rail joint</t>
        </is>
      </c>
      <c r="F3" s="5" t="inlineStr">
        <is>
          <t>Fuel leak, fire risk</t>
        </is>
      </c>
      <c r="G3" s="3" t="n">
        <v>9</v>
      </c>
      <c r="H3" s="3" t="n">
        <v>3</v>
      </c>
      <c r="I3" s="5" t="inlineStr">
        <is>
          <t>In-line automated leak test</t>
        </is>
      </c>
      <c r="J3" s="6">
        <f>VLOOKUP(I3,Detection_Map!$A$3:$B$10,2,FALSE)</f>
        <v>4</v>
      </c>
      <c r="K3" s="7" t="str">
        <f>INDEX(AP_Table!$G$3:$G$45,SUMPRODUCT((ROW(AP_Table!$A$3:$A$45)-2)*(AP_Table!$A$3:$A$45&lt;=G3)*(AP_Table!$B$3:$B$45&gt;=G3)*(AP_Table!$C$3:$C$45&lt;=H3)*(AP_Table!$D$3:$D$45&gt;=H3)*(AP_Table!$E$3:$E$45&lt;=J3)*(AP_Table!$F$3:$F$45&gt;=J3)))</f>
        <v>H</v>
      </c>
      <c r="L3" s="8" t="str">
        <f>IF(K3="H","Yes",IF(K3="M","Review","No"))</f>
        <v>Yes</v>
      </c>
    </row>
    <row r="4">
      <c r="A4" s="3" t="n">
        <v>2</v>
      </c>
      <c r="B4" s="4" t="inlineStr">
        <is>
          <t>FM-12</t>
        </is>
      </c>
      <c r="C4" s="5" t="inlineStr">
        <is>
          <t>Injector</t>
        </is>
      </c>
      <c r="D4" s="5" t="inlineStr">
        <is>
          <t>Meter fuel per command</t>
        </is>
      </c>
      <c r="E4" s="5" t="inlineStr">
        <is>
          <t>Injector external seal leak</t>
        </is>
      </c>
      <c r="F4" s="5" t="inlineStr">
        <is>
          <t>Fuel leak at seat, fire risk</t>
        </is>
      </c>
      <c r="G4" s="3" t="n">
        <v>9</v>
      </c>
      <c r="H4" s="3" t="n">
        <v>2</v>
      </c>
      <c r="I4" s="5" t="inlineStr">
        <is>
          <t>Pressure decay test (in-line)</t>
        </is>
      </c>
      <c r="J4" s="6">
        <f>VLOOKUP(I4,Detection_Map!$A$3:$B$10,2,FALSE)</f>
        <v>4</v>
      </c>
      <c r="K4" s="7" t="str">
        <f>INDEX(AP_Table!$G$3:$G$45,SUMPRODUCT((ROW(AP_Table!$A$3:$A$45)-2)*(AP_Table!$A$3:$A$45&lt;=G4)*(AP_Table!$B$3:$B$45&gt;=G4)*(AP_Table!$C$3:$C$45&lt;=H4)*(AP_Table!$D$3:$D$45&gt;=H4)*(AP_Table!$E$3:$E$45&lt;=J4)*(AP_Table!$F$3:$F$45&gt;=J4)))</f>
        <v>H</v>
      </c>
      <c r="L4" s="8" t="str">
        <f>IF(K4="H","Yes",IF(K4="M","Review","No"))</f>
        <v>Yes</v>
      </c>
    </row>
    <row r="5">
      <c r="A5" s="3" t="n">
        <v>3</v>
      </c>
      <c r="B5" s="4" t="inlineStr">
        <is>
          <t>FM-13</t>
        </is>
      </c>
      <c r="C5" s="5" t="inlineStr">
        <is>
          <t>Fuel Rail</t>
        </is>
      </c>
      <c r="D5" s="5" t="inlineStr">
        <is>
          <t>Contain pressurized fuel</t>
        </is>
      </c>
      <c r="E5" s="5" t="inlineStr">
        <is>
          <t>Rail cracks from pressure cycling fatigue</t>
        </is>
      </c>
      <c r="F5" s="5" t="inlineStr">
        <is>
          <t>Fuel leak, fire risk</t>
        </is>
      </c>
      <c r="G5" s="3" t="n">
        <v>9</v>
      </c>
      <c r="H5" s="3" t="n">
        <v>2</v>
      </c>
      <c r="I5" s="5" t="inlineStr">
        <is>
          <t>Design validation + in-line PPAP</t>
        </is>
      </c>
      <c r="J5" s="6">
        <f>VLOOKUP(I5,Detection_Map!$A$3:$B$10,2,FALSE)</f>
        <v>3</v>
      </c>
      <c r="K5" s="7" t="str">
        <f>INDEX(AP_Table!$G$3:$G$45,SUMPRODUCT((ROW(AP_Table!$A$3:$A$45)-2)*(AP_Table!$A$3:$A$45&lt;=G5)*(AP_Table!$B$3:$B$45&gt;=G5)*(AP_Table!$C$3:$C$45&lt;=H5)*(AP_Table!$D$3:$D$45&gt;=H5)*(AP_Table!$E$3:$E$45&lt;=J5)*(AP_Table!$F$3:$F$45&gt;=J5)))</f>
        <v>H</v>
      </c>
      <c r="L5" s="8" t="str">
        <f>IF(K5="H","Yes",IF(K5="M","Review","No"))</f>
        <v>Yes</v>
      </c>
    </row>
    <row r="6">
      <c r="A6" s="3" t="n">
        <v>4</v>
      </c>
      <c r="B6" s="4" t="inlineStr">
        <is>
          <t>FM-09</t>
        </is>
      </c>
      <c r="C6" s="5" t="inlineStr">
        <is>
          <t>Quick Connector</t>
        </is>
      </c>
      <c r="D6" s="5" t="inlineStr">
        <is>
          <t>Join fuel lines</t>
        </is>
      </c>
      <c r="E6" s="5" t="inlineStr">
        <is>
          <t>Connector not fully seated</t>
        </is>
      </c>
      <c r="F6" s="5" t="inlineStr">
        <is>
          <t>Fuel leak on vibration, fire risk</t>
        </is>
      </c>
      <c r="G6" s="3" t="n">
        <v>9</v>
      </c>
      <c r="H6" s="3" t="n">
        <v>2</v>
      </c>
      <c r="I6" s="5" t="inlineStr">
        <is>
          <t>100% automated with error-proofing</t>
        </is>
      </c>
      <c r="J6" s="6">
        <f>VLOOKUP(I6,Detection_Map!$A$3:$B$10,2,FALSE)</f>
        <v>2</v>
      </c>
      <c r="K6" s="7" t="str">
        <f>INDEX(AP_Table!$G$3:$G$45,SUMPRODUCT((ROW(AP_Table!$A$3:$A$45)-2)*(AP_Table!$A$3:$A$45&lt;=G6)*(AP_Table!$B$3:$B$45&gt;=G6)*(AP_Table!$C$3:$C$45&lt;=H6)*(AP_Table!$D$3:$D$45&gt;=H6)*(AP_Table!$E$3:$E$45&lt;=J6)*(AP_Table!$F$3:$F$45&gt;=J6)))</f>
        <v>H</v>
      </c>
      <c r="L6" s="8" t="str">
        <f>IF(K6="H","Yes",IF(K6="M","Review","No"))</f>
        <v>Yes</v>
      </c>
    </row>
    <row r="7">
      <c r="A7" s="3" t="n">
        <v>5</v>
      </c>
      <c r="B7" s="4" t="inlineStr">
        <is>
          <t>FM-04</t>
        </is>
      </c>
      <c r="C7" s="5" t="inlineStr">
        <is>
          <t>Fuel Pump</t>
        </is>
      </c>
      <c r="D7" s="5" t="inlineStr">
        <is>
          <t>Deliver rated flow/pressure</t>
        </is>
      </c>
      <c r="E7" s="5" t="inlineStr">
        <is>
          <t>Pump wear reduces flow below spec</t>
        </is>
      </c>
      <c r="F7" s="5" t="inlineStr">
        <is>
          <t>Hard start, stall under load</t>
        </is>
      </c>
      <c r="G7" s="3" t="n">
        <v>7</v>
      </c>
      <c r="H7" s="3" t="n">
        <v>4</v>
      </c>
      <c r="I7" s="5" t="inlineStr">
        <is>
          <t>Functional end-of-line test</t>
        </is>
      </c>
      <c r="J7" s="6">
        <f>VLOOKUP(I7,Detection_Map!$A$3:$B$10,2,FALSE)</f>
        <v>6</v>
      </c>
      <c r="K7" s="7" t="str">
        <f>INDEX(AP_Table!$G$3:$G$45,SUMPRODUCT((ROW(AP_Table!$A$3:$A$45)-2)*(AP_Table!$A$3:$A$45&lt;=G7)*(AP_Table!$B$3:$B$45&gt;=G7)*(AP_Table!$C$3:$C$45&lt;=H7)*(AP_Table!$D$3:$D$45&gt;=H7)*(AP_Table!$E$3:$E$45&lt;=J7)*(AP_Table!$F$3:$F$45&gt;=J7)))</f>
        <v>H</v>
      </c>
      <c r="L7" s="8" t="str">
        <f>IF(K7="H","Yes",IF(K7="M","Review","No"))</f>
        <v>Yes</v>
      </c>
    </row>
    <row r="8">
      <c r="A8" s="3" t="n">
        <v>6</v>
      </c>
      <c r="B8" s="4" t="inlineStr">
        <is>
          <t>FM-14</t>
        </is>
      </c>
      <c r="C8" s="5" t="inlineStr">
        <is>
          <t>Regulator Diaphragm</t>
        </is>
      </c>
      <c r="D8" s="5" t="inlineStr">
        <is>
          <t>Seal reference chamber</t>
        </is>
      </c>
      <c r="E8" s="5" t="inlineStr">
        <is>
          <t>Diaphragm rupture</t>
        </is>
      </c>
      <c r="F8" s="5" t="inlineStr">
        <is>
          <t>Rich, fuel in vacuum line</t>
        </is>
      </c>
      <c r="G8" s="3" t="n">
        <v>7</v>
      </c>
      <c r="H8" s="3" t="n">
        <v>3</v>
      </c>
      <c r="I8" s="5" t="inlineStr">
        <is>
          <t>None / not detectable</t>
        </is>
      </c>
      <c r="J8" s="6">
        <f>VLOOKUP(I8,Detection_Map!$A$3:$B$10,2,FALSE)</f>
        <v>10</v>
      </c>
      <c r="K8" s="7" t="str">
        <f>INDEX(AP_Table!$G$3:$G$45,SUMPRODUCT((ROW(AP_Table!$A$3:$A$45)-2)*(AP_Table!$A$3:$A$45&lt;=G8)*(AP_Table!$B$3:$B$45&gt;=G8)*(AP_Table!$C$3:$C$45&lt;=H8)*(AP_Table!$D$3:$D$45&gt;=H8)*(AP_Table!$E$3:$E$45&lt;=J8)*(AP_Table!$F$3:$F$45&gt;=J8)))</f>
        <v>H</v>
      </c>
      <c r="L8" s="8" t="str">
        <f>IF(K8="H","Yes",IF(K8="M","Review","No"))</f>
        <v>Yes</v>
      </c>
    </row>
    <row r="9">
      <c r="A9" s="3" t="n">
        <v>7</v>
      </c>
      <c r="B9" s="4" t="inlineStr">
        <is>
          <t>FM-08</t>
        </is>
      </c>
      <c r="C9" s="5" t="inlineStr">
        <is>
          <t>Tank Seal</t>
        </is>
      </c>
      <c r="D9" s="5" t="inlineStr">
        <is>
          <t>Contain fuel vapor/liquid</t>
        </is>
      </c>
      <c r="E9" s="5" t="inlineStr">
        <is>
          <t>Seal degradation, weep</t>
        </is>
      </c>
      <c r="F9" s="5" t="inlineStr">
        <is>
          <t>Evap leak, emissions</t>
        </is>
      </c>
      <c r="G9" s="3" t="n">
        <v>7</v>
      </c>
      <c r="H9" s="3" t="n">
        <v>2</v>
      </c>
      <c r="I9" s="5" t="inlineStr">
        <is>
          <t>Visual inspection only</t>
        </is>
      </c>
      <c r="J9" s="6">
        <f>VLOOKUP(I9,Detection_Map!$A$3:$B$10,2,FALSE)</f>
        <v>8</v>
      </c>
      <c r="K9" s="7" t="str">
        <f>INDEX(AP_Table!$G$3:$G$45,SUMPRODUCT((ROW(AP_Table!$A$3:$A$45)-2)*(AP_Table!$A$3:$A$45&lt;=G9)*(AP_Table!$B$3:$B$45&gt;=G9)*(AP_Table!$C$3:$C$45&lt;=H9)*(AP_Table!$D$3:$D$45&gt;=H9)*(AP_Table!$E$3:$E$45&lt;=J9)*(AP_Table!$F$3:$F$45&gt;=J9)))</f>
        <v>H</v>
      </c>
      <c r="L9" s="8" t="str">
        <f>IF(K9="H","Yes",IF(K9="M","Review","No"))</f>
        <v>Yes</v>
      </c>
    </row>
    <row r="10">
      <c r="A10" s="3" t="n">
        <v>8</v>
      </c>
      <c r="B10" s="4" t="inlineStr">
        <is>
          <t>FM-11</t>
        </is>
      </c>
      <c r="C10" s="5" t="inlineStr">
        <is>
          <t>Fuel Pump</t>
        </is>
      </c>
      <c r="D10" s="5" t="inlineStr">
        <is>
          <t>Deliver rated flow/pressure</t>
        </is>
      </c>
      <c r="E10" s="5" t="inlineStr">
        <is>
          <t>Pump electrical open</t>
        </is>
      </c>
      <c r="F10" s="5" t="inlineStr">
        <is>
          <t>No start</t>
        </is>
      </c>
      <c r="G10" s="3" t="n">
        <v>8</v>
      </c>
      <c r="H10" s="3" t="n">
        <v>2</v>
      </c>
      <c r="I10" s="5" t="inlineStr">
        <is>
          <t>Functional end-of-line test</t>
        </is>
      </c>
      <c r="J10" s="6">
        <f>VLOOKUP(I10,Detection_Map!$A$3:$B$10,2,FALSE)</f>
        <v>6</v>
      </c>
      <c r="K10" s="9" t="str">
        <f>INDEX(AP_Table!$G$3:$G$45,SUMPRODUCT((ROW(AP_Table!$A$3:$A$45)-2)*(AP_Table!$A$3:$A$45&lt;=G10)*(AP_Table!$B$3:$B$45&gt;=G10)*(AP_Table!$C$3:$C$45&lt;=H10)*(AP_Table!$D$3:$D$45&gt;=H10)*(AP_Table!$E$3:$E$45&lt;=J10)*(AP_Table!$F$3:$F$45&gt;=J10)))</f>
        <v>M</v>
      </c>
      <c r="L10" s="8" t="str">
        <f>IF(K10="H","Yes",IF(K10="M","Review","No"))</f>
        <v>Review</v>
      </c>
    </row>
    <row r="11">
      <c r="A11" s="3" t="n">
        <v>9</v>
      </c>
      <c r="B11" s="4" t="inlineStr">
        <is>
          <t>FM-03</t>
        </is>
      </c>
      <c r="C11" s="5" t="inlineStr">
        <is>
          <t>Injector</t>
        </is>
      </c>
      <c r="D11" s="5" t="inlineStr">
        <is>
          <t>Meter fuel per command</t>
        </is>
      </c>
      <c r="E11" s="5" t="inlineStr">
        <is>
          <t>Injector stuck open</t>
        </is>
      </c>
      <c r="F11" s="5" t="inlineStr">
        <is>
          <t>Rich run, emissions, hydrolock</t>
        </is>
      </c>
      <c r="G11" s="3" t="n">
        <v>8</v>
      </c>
      <c r="H11" s="3" t="n">
        <v>2</v>
      </c>
      <c r="I11" s="5" t="inlineStr">
        <is>
          <t>Bench durability test</t>
        </is>
      </c>
      <c r="J11" s="6">
        <f>VLOOKUP(I11,Detection_Map!$A$3:$B$10,2,FALSE)</f>
        <v>5</v>
      </c>
      <c r="K11" s="9" t="str">
        <f>INDEX(AP_Table!$G$3:$G$45,SUMPRODUCT((ROW(AP_Table!$A$3:$A$45)-2)*(AP_Table!$A$3:$A$45&lt;=G11)*(AP_Table!$B$3:$B$45&gt;=G11)*(AP_Table!$C$3:$C$45&lt;=H11)*(AP_Table!$D$3:$D$45&gt;=H11)*(AP_Table!$E$3:$E$45&lt;=J11)*(AP_Table!$F$3:$F$45&gt;=J11)))</f>
        <v>M</v>
      </c>
      <c r="L11" s="8" t="str">
        <f>IF(K11="H","Yes",IF(K11="M","Review","No"))</f>
        <v>Review</v>
      </c>
    </row>
    <row r="12">
      <c r="A12" s="3" t="n">
        <v>10</v>
      </c>
      <c r="B12" s="4" t="inlineStr">
        <is>
          <t>FM-15</t>
        </is>
      </c>
      <c r="C12" s="5" t="inlineStr">
        <is>
          <t>Fuel Filter</t>
        </is>
      </c>
      <c r="D12" s="5" t="inlineStr">
        <is>
          <t>Filter particulate</t>
        </is>
      </c>
      <c r="E12" s="5" t="inlineStr">
        <is>
          <t>Filter fully clogged</t>
        </is>
      </c>
      <c r="F12" s="5" t="inlineStr">
        <is>
          <t>Fuel starvation, stall</t>
        </is>
      </c>
      <c r="G12" s="3" t="n">
        <v>7</v>
      </c>
      <c r="H12" s="3" t="n">
        <v>3</v>
      </c>
      <c r="I12" s="5" t="inlineStr">
        <is>
          <t>Functional end-of-line test</t>
        </is>
      </c>
      <c r="J12" s="6">
        <f>VLOOKUP(I12,Detection_Map!$A$3:$B$10,2,FALSE)</f>
        <v>6</v>
      </c>
      <c r="K12" s="9" t="str">
        <f>INDEX(AP_Table!$G$3:$G$45,SUMPRODUCT((ROW(AP_Table!$A$3:$A$45)-2)*(AP_Table!$A$3:$A$45&lt;=G12)*(AP_Table!$B$3:$B$45&gt;=G12)*(AP_Table!$C$3:$C$45&lt;=H12)*(AP_Table!$D$3:$D$45&gt;=H12)*(AP_Table!$E$3:$E$45&lt;=J12)*(AP_Table!$F$3:$F$45&gt;=J12)))</f>
        <v>M</v>
      </c>
      <c r="L12" s="8" t="str">
        <f>IF(K12="H","Yes",IF(K12="M","Review","No"))</f>
        <v>Review</v>
      </c>
    </row>
    <row r="13">
      <c r="A13" s="3" t="n">
        <v>11</v>
      </c>
      <c r="B13" s="4" t="inlineStr">
        <is>
          <t>FM-02</t>
        </is>
      </c>
      <c r="C13" s="5" t="inlineStr">
        <is>
          <t>Injector</t>
        </is>
      </c>
      <c r="D13" s="5" t="inlineStr">
        <is>
          <t>Meter fuel per command</t>
        </is>
      </c>
      <c r="E13" s="5" t="inlineStr">
        <is>
          <t>Injector partially clogged</t>
        </is>
      </c>
      <c r="F13" s="5" t="inlineStr">
        <is>
          <t>Lean misfire, driveability</t>
        </is>
      </c>
      <c r="G13" s="3" t="n">
        <v>6</v>
      </c>
      <c r="H13" s="3" t="n">
        <v>5</v>
      </c>
      <c r="I13" s="5" t="inlineStr">
        <is>
          <t>Functional end-of-line test</t>
        </is>
      </c>
      <c r="J13" s="6">
        <f>VLOOKUP(I13,Detection_Map!$A$3:$B$10,2,FALSE)</f>
        <v>6</v>
      </c>
      <c r="K13" s="9" t="str">
        <f>INDEX(AP_Table!$G$3:$G$45,SUMPRODUCT((ROW(AP_Table!$A$3:$A$45)-2)*(AP_Table!$A$3:$A$45&lt;=G13)*(AP_Table!$B$3:$B$45&gt;=G13)*(AP_Table!$C$3:$C$45&lt;=H13)*(AP_Table!$D$3:$D$45&gt;=H13)*(AP_Table!$E$3:$E$45&lt;=J13)*(AP_Table!$F$3:$F$45&gt;=J13)))</f>
        <v>M</v>
      </c>
      <c r="L13" s="8" t="str">
        <f>IF(K13="H","Yes",IF(K13="M","Review","No"))</f>
        <v>Review</v>
      </c>
    </row>
    <row r="14">
      <c r="A14" s="3" t="n">
        <v>12</v>
      </c>
      <c r="B14" s="4" t="inlineStr">
        <is>
          <t>FM-10</t>
        </is>
      </c>
      <c r="C14" s="5" t="inlineStr">
        <is>
          <t>Fuel Filter</t>
        </is>
      </c>
      <c r="D14" s="5" t="inlineStr">
        <is>
          <t>Filter particulate</t>
        </is>
      </c>
      <c r="E14" s="5" t="inlineStr">
        <is>
          <t>Filter media bypass</t>
        </is>
      </c>
      <c r="F14" s="5" t="inlineStr">
        <is>
          <t>Injector wear over time</t>
        </is>
      </c>
      <c r="G14" s="3" t="n">
        <v>4</v>
      </c>
      <c r="H14" s="3" t="n">
        <v>4</v>
      </c>
      <c r="I14" s="5" t="inlineStr">
        <is>
          <t>Bench durability test</t>
        </is>
      </c>
      <c r="J14" s="6">
        <f>VLOOKUP(I14,Detection_Map!$A$3:$B$10,2,FALSE)</f>
        <v>5</v>
      </c>
      <c r="K14" s="9" t="str">
        <f>INDEX(AP_Table!$G$3:$G$45,SUMPRODUCT((ROW(AP_Table!$A$3:$A$45)-2)*(AP_Table!$A$3:$A$45&lt;=G14)*(AP_Table!$B$3:$B$45&gt;=G14)*(AP_Table!$C$3:$C$45&lt;=H14)*(AP_Table!$D$3:$D$45&gt;=H14)*(AP_Table!$E$3:$E$45&lt;=J14)*(AP_Table!$F$3:$F$45&gt;=J14)))</f>
        <v>M</v>
      </c>
      <c r="L14" s="8" t="str">
        <f>IF(K14="H","Yes",IF(K14="M","Review","No"))</f>
        <v>Review</v>
      </c>
    </row>
    <row r="15">
      <c r="A15" s="3" t="n">
        <v>13</v>
      </c>
      <c r="B15" s="4" t="inlineStr">
        <is>
          <t>FM-06</t>
        </is>
      </c>
      <c r="C15" s="5" t="inlineStr">
        <is>
          <t>Pressure Regulator</t>
        </is>
      </c>
      <c r="D15" s="5" t="inlineStr">
        <is>
          <t>Regulate rail pressure</t>
        </is>
      </c>
      <c r="E15" s="5" t="inlineStr">
        <is>
          <t>Regulator drifts low</t>
        </is>
      </c>
      <c r="F15" s="5" t="inlineStr">
        <is>
          <t>Lean, power loss</t>
        </is>
      </c>
      <c r="G15" s="3" t="n">
        <v>6</v>
      </c>
      <c r="H15" s="3" t="n">
        <v>3</v>
      </c>
      <c r="I15" s="5" t="inlineStr">
        <is>
          <t>Functional end-of-line test</t>
        </is>
      </c>
      <c r="J15" s="6">
        <f>VLOOKUP(I15,Detection_Map!$A$3:$B$10,2,FALSE)</f>
        <v>6</v>
      </c>
      <c r="K15" s="10" t="str">
        <f>INDEX(AP_Table!$G$3:$G$45,SUMPRODUCT((ROW(AP_Table!$A$3:$A$45)-2)*(AP_Table!$A$3:$A$45&lt;=G15)*(AP_Table!$B$3:$B$45&gt;=G15)*(AP_Table!$C$3:$C$45&lt;=H15)*(AP_Table!$D$3:$D$45&gt;=H15)*(AP_Table!$E$3:$E$45&lt;=J15)*(AP_Table!$F$3:$F$45&gt;=J15)))</f>
        <v>L</v>
      </c>
      <c r="L15" s="8" t="str">
        <f>IF(K15="H","Yes",IF(K15="M","Review","No"))</f>
        <v>No</v>
      </c>
    </row>
    <row r="16">
      <c r="A16" s="3" t="n">
        <v>14</v>
      </c>
      <c r="B16" s="4" t="inlineStr">
        <is>
          <t>FM-05</t>
        </is>
      </c>
      <c r="C16" s="5" t="inlineStr">
        <is>
          <t>Pressure Regulator</t>
        </is>
      </c>
      <c r="D16" s="5" t="inlineStr">
        <is>
          <t>Regulate rail pressure</t>
        </is>
      </c>
      <c r="E16" s="5" t="inlineStr">
        <is>
          <t>Regulator drifts high</t>
        </is>
      </c>
      <c r="F16" s="5" t="inlineStr">
        <is>
          <t>Rich mixture, emissions fail</t>
        </is>
      </c>
      <c r="G16" s="3" t="n">
        <v>6</v>
      </c>
      <c r="H16" s="3" t="n">
        <v>3</v>
      </c>
      <c r="I16" s="5" t="inlineStr">
        <is>
          <t>In-line automated leak test</t>
        </is>
      </c>
      <c r="J16" s="6">
        <f>VLOOKUP(I16,Detection_Map!$A$3:$B$10,2,FALSE)</f>
        <v>4</v>
      </c>
      <c r="K16" s="10" t="str">
        <f>INDEX(AP_Table!$G$3:$G$45,SUMPRODUCT((ROW(AP_Table!$A$3:$A$45)-2)*(AP_Table!$A$3:$A$45&lt;=G16)*(AP_Table!$B$3:$B$45&gt;=G16)*(AP_Table!$C$3:$C$45&lt;=H16)*(AP_Table!$D$3:$D$45&gt;=H16)*(AP_Table!$E$3:$E$45&lt;=J16)*(AP_Table!$F$3:$F$45&gt;=J16)))</f>
        <v>L</v>
      </c>
      <c r="L16" s="8" t="str">
        <f>IF(K16="H","Yes",IF(K16="M","Review","No"))</f>
        <v>No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</cols>
  <sheetData>
    <row r="1">
      <c r="A1" s="11" t="inlineStr">
        <is>
          <t>Detection Rating Reference (control -&gt; D)</t>
        </is>
      </c>
    </row>
    <row r="2">
      <c r="A2" s="2" t="inlineStr">
        <is>
          <t>current_detection_control</t>
        </is>
      </c>
      <c r="B2" s="2" t="inlineStr">
        <is>
          <t>D</t>
        </is>
      </c>
    </row>
    <row r="3">
      <c r="A3" s="12" t="inlineStr">
        <is>
          <t>100% automated with error-proofing</t>
        </is>
      </c>
      <c r="B3" s="13" t="n">
        <v>2</v>
      </c>
    </row>
    <row r="4">
      <c r="A4" s="12" t="inlineStr">
        <is>
          <t>Design validation + in-line PPAP</t>
        </is>
      </c>
      <c r="B4" s="13" t="n">
        <v>3</v>
      </c>
    </row>
    <row r="5">
      <c r="A5" s="12" t="inlineStr">
        <is>
          <t>In-line automated leak test</t>
        </is>
      </c>
      <c r="B5" s="13" t="n">
        <v>4</v>
      </c>
    </row>
    <row r="6">
      <c r="A6" s="12" t="inlineStr">
        <is>
          <t>Pressure decay test (in-line)</t>
        </is>
      </c>
      <c r="B6" s="13" t="n">
        <v>4</v>
      </c>
    </row>
    <row r="7">
      <c r="A7" s="12" t="inlineStr">
        <is>
          <t>Bench durability test</t>
        </is>
      </c>
      <c r="B7" s="13" t="n">
        <v>5</v>
      </c>
    </row>
    <row r="8">
      <c r="A8" s="12" t="inlineStr">
        <is>
          <t>Functional end-of-line test</t>
        </is>
      </c>
      <c r="B8" s="13" t="n">
        <v>6</v>
      </c>
    </row>
    <row r="9">
      <c r="A9" s="12" t="inlineStr">
        <is>
          <t>Visual inspection only</t>
        </is>
      </c>
      <c r="B9" s="13" t="n">
        <v>8</v>
      </c>
    </row>
    <row r="10">
      <c r="A10" s="12" t="inlineStr">
        <is>
          <t>None / not detectable</t>
        </is>
      </c>
      <c r="B10" s="1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5" customWidth="1" min="7" max="7"/>
  </cols>
  <sheetData>
    <row r="1">
      <c r="A1" s="11" t="inlineStr">
        <is>
          <t>Action Priority Lookup (AIAG-VDA)</t>
        </is>
      </c>
    </row>
    <row r="2">
      <c r="A2" s="14" t="inlineStr">
        <is>
          <t>S_lo</t>
        </is>
      </c>
      <c r="B2" s="14" t="inlineStr">
        <is>
          <t>S_hi</t>
        </is>
      </c>
      <c r="C2" s="14" t="inlineStr">
        <is>
          <t>O_lo</t>
        </is>
      </c>
      <c r="D2" s="14" t="inlineStr">
        <is>
          <t>O_hi</t>
        </is>
      </c>
      <c r="E2" s="14" t="inlineStr">
        <is>
          <t>D_lo</t>
        </is>
      </c>
      <c r="F2" s="14" t="inlineStr">
        <is>
          <t>D_hi</t>
        </is>
      </c>
      <c r="G2" s="14" t="inlineStr">
        <is>
          <t>AP</t>
        </is>
      </c>
    </row>
    <row r="3">
      <c r="A3" s="13" t="n">
        <v>9</v>
      </c>
      <c r="B3" s="13" t="n">
        <v>10</v>
      </c>
      <c r="C3" s="13" t="n">
        <v>6</v>
      </c>
      <c r="D3" s="13" t="n">
        <v>10</v>
      </c>
      <c r="E3" s="13" t="n">
        <v>1</v>
      </c>
      <c r="F3" s="13" t="n">
        <v>10</v>
      </c>
      <c r="G3" s="13" t="inlineStr">
        <is>
          <t>H</t>
        </is>
      </c>
    </row>
    <row r="4">
      <c r="A4" s="13" t="n">
        <v>9</v>
      </c>
      <c r="B4" s="13" t="n">
        <v>10</v>
      </c>
      <c r="C4" s="13" t="n">
        <v>4</v>
      </c>
      <c r="D4" s="13" t="n">
        <v>5</v>
      </c>
      <c r="E4" s="13" t="n">
        <v>1</v>
      </c>
      <c r="F4" s="13" t="n">
        <v>10</v>
      </c>
      <c r="G4" s="13" t="inlineStr">
        <is>
          <t>H</t>
        </is>
      </c>
    </row>
    <row r="5">
      <c r="A5" s="13" t="n">
        <v>9</v>
      </c>
      <c r="B5" s="13" t="n">
        <v>10</v>
      </c>
      <c r="C5" s="13" t="n">
        <v>2</v>
      </c>
      <c r="D5" s="13" t="n">
        <v>3</v>
      </c>
      <c r="E5" s="13" t="n">
        <v>1</v>
      </c>
      <c r="F5" s="13" t="n">
        <v>4</v>
      </c>
      <c r="G5" s="13" t="inlineStr">
        <is>
          <t>H</t>
        </is>
      </c>
    </row>
    <row r="6">
      <c r="A6" s="13" t="n">
        <v>9</v>
      </c>
      <c r="B6" s="13" t="n">
        <v>10</v>
      </c>
      <c r="C6" s="13" t="n">
        <v>2</v>
      </c>
      <c r="D6" s="13" t="n">
        <v>3</v>
      </c>
      <c r="E6" s="13" t="n">
        <v>5</v>
      </c>
      <c r="F6" s="13" t="n">
        <v>7</v>
      </c>
      <c r="G6" s="13" t="inlineStr">
        <is>
          <t>H</t>
        </is>
      </c>
    </row>
    <row r="7">
      <c r="A7" s="13" t="n">
        <v>9</v>
      </c>
      <c r="B7" s="13" t="n">
        <v>10</v>
      </c>
      <c r="C7" s="13" t="n">
        <v>2</v>
      </c>
      <c r="D7" s="13" t="n">
        <v>3</v>
      </c>
      <c r="E7" s="13" t="n">
        <v>8</v>
      </c>
      <c r="F7" s="13" t="n">
        <v>10</v>
      </c>
      <c r="G7" s="13" t="inlineStr">
        <is>
          <t>H</t>
        </is>
      </c>
    </row>
    <row r="8">
      <c r="A8" s="13" t="n">
        <v>9</v>
      </c>
      <c r="B8" s="13" t="n">
        <v>10</v>
      </c>
      <c r="C8" s="13" t="n">
        <v>1</v>
      </c>
      <c r="D8" s="13" t="n">
        <v>1</v>
      </c>
      <c r="E8" s="13" t="n">
        <v>1</v>
      </c>
      <c r="F8" s="13" t="n">
        <v>4</v>
      </c>
      <c r="G8" s="13" t="inlineStr">
        <is>
          <t>M</t>
        </is>
      </c>
    </row>
    <row r="9">
      <c r="A9" s="13" t="n">
        <v>9</v>
      </c>
      <c r="B9" s="13" t="n">
        <v>10</v>
      </c>
      <c r="C9" s="13" t="n">
        <v>1</v>
      </c>
      <c r="D9" s="13" t="n">
        <v>1</v>
      </c>
      <c r="E9" s="13" t="n">
        <v>5</v>
      </c>
      <c r="F9" s="13" t="n">
        <v>7</v>
      </c>
      <c r="G9" s="13" t="inlineStr">
        <is>
          <t>M</t>
        </is>
      </c>
    </row>
    <row r="10">
      <c r="A10" s="13" t="n">
        <v>9</v>
      </c>
      <c r="B10" s="13" t="n">
        <v>10</v>
      </c>
      <c r="C10" s="13" t="n">
        <v>1</v>
      </c>
      <c r="D10" s="13" t="n">
        <v>1</v>
      </c>
      <c r="E10" s="13" t="n">
        <v>8</v>
      </c>
      <c r="F10" s="13" t="n">
        <v>10</v>
      </c>
      <c r="G10" s="13" t="inlineStr">
        <is>
          <t>H</t>
        </is>
      </c>
    </row>
    <row r="11">
      <c r="A11" s="13" t="n">
        <v>7</v>
      </c>
      <c r="B11" s="13" t="n">
        <v>8</v>
      </c>
      <c r="C11" s="13" t="n">
        <v>6</v>
      </c>
      <c r="D11" s="13" t="n">
        <v>10</v>
      </c>
      <c r="E11" s="13" t="n">
        <v>1</v>
      </c>
      <c r="F11" s="13" t="n">
        <v>4</v>
      </c>
      <c r="G11" s="13" t="inlineStr">
        <is>
          <t>H</t>
        </is>
      </c>
    </row>
    <row r="12">
      <c r="A12" s="13" t="n">
        <v>7</v>
      </c>
      <c r="B12" s="13" t="n">
        <v>8</v>
      </c>
      <c r="C12" s="13" t="n">
        <v>6</v>
      </c>
      <c r="D12" s="13" t="n">
        <v>10</v>
      </c>
      <c r="E12" s="13" t="n">
        <v>5</v>
      </c>
      <c r="F12" s="13" t="n">
        <v>7</v>
      </c>
      <c r="G12" s="13" t="inlineStr">
        <is>
          <t>H</t>
        </is>
      </c>
    </row>
    <row r="13">
      <c r="A13" s="13" t="n">
        <v>7</v>
      </c>
      <c r="B13" s="13" t="n">
        <v>8</v>
      </c>
      <c r="C13" s="13" t="n">
        <v>6</v>
      </c>
      <c r="D13" s="13" t="n">
        <v>10</v>
      </c>
      <c r="E13" s="13" t="n">
        <v>8</v>
      </c>
      <c r="F13" s="13" t="n">
        <v>10</v>
      </c>
      <c r="G13" s="13" t="inlineStr">
        <is>
          <t>H</t>
        </is>
      </c>
    </row>
    <row r="14">
      <c r="A14" s="13" t="n">
        <v>7</v>
      </c>
      <c r="B14" s="13" t="n">
        <v>8</v>
      </c>
      <c r="C14" s="13" t="n">
        <v>4</v>
      </c>
      <c r="D14" s="13" t="n">
        <v>5</v>
      </c>
      <c r="E14" s="13" t="n">
        <v>1</v>
      </c>
      <c r="F14" s="13" t="n">
        <v>4</v>
      </c>
      <c r="G14" s="13" t="inlineStr">
        <is>
          <t>M</t>
        </is>
      </c>
    </row>
    <row r="15">
      <c r="A15" s="13" t="n">
        <v>7</v>
      </c>
      <c r="B15" s="13" t="n">
        <v>8</v>
      </c>
      <c r="C15" s="13" t="n">
        <v>4</v>
      </c>
      <c r="D15" s="13" t="n">
        <v>5</v>
      </c>
      <c r="E15" s="13" t="n">
        <v>5</v>
      </c>
      <c r="F15" s="13" t="n">
        <v>7</v>
      </c>
      <c r="G15" s="13" t="inlineStr">
        <is>
          <t>H</t>
        </is>
      </c>
    </row>
    <row r="16">
      <c r="A16" s="13" t="n">
        <v>7</v>
      </c>
      <c r="B16" s="13" t="n">
        <v>8</v>
      </c>
      <c r="C16" s="13" t="n">
        <v>4</v>
      </c>
      <c r="D16" s="13" t="n">
        <v>5</v>
      </c>
      <c r="E16" s="13" t="n">
        <v>8</v>
      </c>
      <c r="F16" s="13" t="n">
        <v>10</v>
      </c>
      <c r="G16" s="13" t="inlineStr">
        <is>
          <t>H</t>
        </is>
      </c>
    </row>
    <row r="17">
      <c r="A17" s="13" t="n">
        <v>7</v>
      </c>
      <c r="B17" s="13" t="n">
        <v>8</v>
      </c>
      <c r="C17" s="13" t="n">
        <v>2</v>
      </c>
      <c r="D17" s="13" t="n">
        <v>3</v>
      </c>
      <c r="E17" s="13" t="n">
        <v>1</v>
      </c>
      <c r="F17" s="13" t="n">
        <v>4</v>
      </c>
      <c r="G17" s="13" t="inlineStr">
        <is>
          <t>L</t>
        </is>
      </c>
    </row>
    <row r="18">
      <c r="A18" s="13" t="n">
        <v>7</v>
      </c>
      <c r="B18" s="13" t="n">
        <v>8</v>
      </c>
      <c r="C18" s="13" t="n">
        <v>2</v>
      </c>
      <c r="D18" s="13" t="n">
        <v>3</v>
      </c>
      <c r="E18" s="13" t="n">
        <v>5</v>
      </c>
      <c r="F18" s="13" t="n">
        <v>7</v>
      </c>
      <c r="G18" s="13" t="inlineStr">
        <is>
          <t>M</t>
        </is>
      </c>
    </row>
    <row r="19">
      <c r="A19" s="13" t="n">
        <v>7</v>
      </c>
      <c r="B19" s="13" t="n">
        <v>8</v>
      </c>
      <c r="C19" s="13" t="n">
        <v>2</v>
      </c>
      <c r="D19" s="13" t="n">
        <v>3</v>
      </c>
      <c r="E19" s="13" t="n">
        <v>8</v>
      </c>
      <c r="F19" s="13" t="n">
        <v>10</v>
      </c>
      <c r="G19" s="13" t="inlineStr">
        <is>
          <t>H</t>
        </is>
      </c>
    </row>
    <row r="20">
      <c r="A20" s="13" t="n">
        <v>7</v>
      </c>
      <c r="B20" s="13" t="n">
        <v>8</v>
      </c>
      <c r="C20" s="13" t="n">
        <v>1</v>
      </c>
      <c r="D20" s="13" t="n">
        <v>1</v>
      </c>
      <c r="E20" s="13" t="n">
        <v>1</v>
      </c>
      <c r="F20" s="13" t="n">
        <v>4</v>
      </c>
      <c r="G20" s="13" t="inlineStr">
        <is>
          <t>L</t>
        </is>
      </c>
    </row>
    <row r="21">
      <c r="A21" s="13" t="n">
        <v>7</v>
      </c>
      <c r="B21" s="13" t="n">
        <v>8</v>
      </c>
      <c r="C21" s="13" t="n">
        <v>1</v>
      </c>
      <c r="D21" s="13" t="n">
        <v>1</v>
      </c>
      <c r="E21" s="13" t="n">
        <v>5</v>
      </c>
      <c r="F21" s="13" t="n">
        <v>7</v>
      </c>
      <c r="G21" s="13" t="inlineStr">
        <is>
          <t>M</t>
        </is>
      </c>
    </row>
    <row r="22">
      <c r="A22" s="13" t="n">
        <v>7</v>
      </c>
      <c r="B22" s="13" t="n">
        <v>8</v>
      </c>
      <c r="C22" s="13" t="n">
        <v>1</v>
      </c>
      <c r="D22" s="13" t="n">
        <v>1</v>
      </c>
      <c r="E22" s="13" t="n">
        <v>8</v>
      </c>
      <c r="F22" s="13" t="n">
        <v>10</v>
      </c>
      <c r="G22" s="13" t="inlineStr">
        <is>
          <t>M</t>
        </is>
      </c>
    </row>
    <row r="23">
      <c r="A23" s="13" t="n">
        <v>4</v>
      </c>
      <c r="B23" s="13" t="n">
        <v>6</v>
      </c>
      <c r="C23" s="13" t="n">
        <v>6</v>
      </c>
      <c r="D23" s="13" t="n">
        <v>10</v>
      </c>
      <c r="E23" s="13" t="n">
        <v>1</v>
      </c>
      <c r="F23" s="13" t="n">
        <v>4</v>
      </c>
      <c r="G23" s="13" t="inlineStr">
        <is>
          <t>M</t>
        </is>
      </c>
    </row>
    <row r="24">
      <c r="A24" s="13" t="n">
        <v>4</v>
      </c>
      <c r="B24" s="13" t="n">
        <v>6</v>
      </c>
      <c r="C24" s="13" t="n">
        <v>6</v>
      </c>
      <c r="D24" s="13" t="n">
        <v>10</v>
      </c>
      <c r="E24" s="13" t="n">
        <v>5</v>
      </c>
      <c r="F24" s="13" t="n">
        <v>7</v>
      </c>
      <c r="G24" s="13" t="inlineStr">
        <is>
          <t>H</t>
        </is>
      </c>
    </row>
    <row r="25">
      <c r="A25" s="13" t="n">
        <v>4</v>
      </c>
      <c r="B25" s="13" t="n">
        <v>6</v>
      </c>
      <c r="C25" s="13" t="n">
        <v>6</v>
      </c>
      <c r="D25" s="13" t="n">
        <v>10</v>
      </c>
      <c r="E25" s="13" t="n">
        <v>8</v>
      </c>
      <c r="F25" s="13" t="n">
        <v>10</v>
      </c>
      <c r="G25" s="13" t="inlineStr">
        <is>
          <t>H</t>
        </is>
      </c>
    </row>
    <row r="26">
      <c r="A26" s="13" t="n">
        <v>4</v>
      </c>
      <c r="B26" s="13" t="n">
        <v>6</v>
      </c>
      <c r="C26" s="13" t="n">
        <v>4</v>
      </c>
      <c r="D26" s="13" t="n">
        <v>5</v>
      </c>
      <c r="E26" s="13" t="n">
        <v>1</v>
      </c>
      <c r="F26" s="13" t="n">
        <v>4</v>
      </c>
      <c r="G26" s="13" t="inlineStr">
        <is>
          <t>L</t>
        </is>
      </c>
    </row>
    <row r="27">
      <c r="A27" s="13" t="n">
        <v>4</v>
      </c>
      <c r="B27" s="13" t="n">
        <v>6</v>
      </c>
      <c r="C27" s="13" t="n">
        <v>4</v>
      </c>
      <c r="D27" s="13" t="n">
        <v>5</v>
      </c>
      <c r="E27" s="13" t="n">
        <v>5</v>
      </c>
      <c r="F27" s="13" t="n">
        <v>7</v>
      </c>
      <c r="G27" s="13" t="inlineStr">
        <is>
          <t>M</t>
        </is>
      </c>
    </row>
    <row r="28">
      <c r="A28" s="13" t="n">
        <v>4</v>
      </c>
      <c r="B28" s="13" t="n">
        <v>6</v>
      </c>
      <c r="C28" s="13" t="n">
        <v>4</v>
      </c>
      <c r="D28" s="13" t="n">
        <v>5</v>
      </c>
      <c r="E28" s="13" t="n">
        <v>8</v>
      </c>
      <c r="F28" s="13" t="n">
        <v>10</v>
      </c>
      <c r="G28" s="13" t="inlineStr">
        <is>
          <t>H</t>
        </is>
      </c>
    </row>
    <row r="29">
      <c r="A29" s="13" t="n">
        <v>4</v>
      </c>
      <c r="B29" s="13" t="n">
        <v>6</v>
      </c>
      <c r="C29" s="13" t="n">
        <v>2</v>
      </c>
      <c r="D29" s="13" t="n">
        <v>3</v>
      </c>
      <c r="E29" s="13" t="n">
        <v>1</v>
      </c>
      <c r="F29" s="13" t="n">
        <v>4</v>
      </c>
      <c r="G29" s="13" t="inlineStr">
        <is>
          <t>L</t>
        </is>
      </c>
    </row>
    <row r="30">
      <c r="A30" s="13" t="n">
        <v>4</v>
      </c>
      <c r="B30" s="13" t="n">
        <v>6</v>
      </c>
      <c r="C30" s="13" t="n">
        <v>2</v>
      </c>
      <c r="D30" s="13" t="n">
        <v>3</v>
      </c>
      <c r="E30" s="13" t="n">
        <v>5</v>
      </c>
      <c r="F30" s="13" t="n">
        <v>7</v>
      </c>
      <c r="G30" s="13" t="inlineStr">
        <is>
          <t>L</t>
        </is>
      </c>
    </row>
    <row r="31">
      <c r="A31" s="13" t="n">
        <v>4</v>
      </c>
      <c r="B31" s="13" t="n">
        <v>6</v>
      </c>
      <c r="C31" s="13" t="n">
        <v>2</v>
      </c>
      <c r="D31" s="13" t="n">
        <v>3</v>
      </c>
      <c r="E31" s="13" t="n">
        <v>8</v>
      </c>
      <c r="F31" s="13" t="n">
        <v>10</v>
      </c>
      <c r="G31" s="13" t="inlineStr">
        <is>
          <t>M</t>
        </is>
      </c>
    </row>
    <row r="32">
      <c r="A32" s="13" t="n">
        <v>4</v>
      </c>
      <c r="B32" s="13" t="n">
        <v>6</v>
      </c>
      <c r="C32" s="13" t="n">
        <v>1</v>
      </c>
      <c r="D32" s="13" t="n">
        <v>1</v>
      </c>
      <c r="E32" s="13" t="n">
        <v>1</v>
      </c>
      <c r="F32" s="13" t="n">
        <v>4</v>
      </c>
      <c r="G32" s="13" t="inlineStr">
        <is>
          <t>L</t>
        </is>
      </c>
    </row>
    <row r="33">
      <c r="A33" s="13" t="n">
        <v>4</v>
      </c>
      <c r="B33" s="13" t="n">
        <v>6</v>
      </c>
      <c r="C33" s="13" t="n">
        <v>1</v>
      </c>
      <c r="D33" s="13" t="n">
        <v>1</v>
      </c>
      <c r="E33" s="13" t="n">
        <v>5</v>
      </c>
      <c r="F33" s="13" t="n">
        <v>7</v>
      </c>
      <c r="G33" s="13" t="inlineStr">
        <is>
          <t>L</t>
        </is>
      </c>
    </row>
    <row r="34">
      <c r="A34" s="13" t="n">
        <v>4</v>
      </c>
      <c r="B34" s="13" t="n">
        <v>6</v>
      </c>
      <c r="C34" s="13" t="n">
        <v>1</v>
      </c>
      <c r="D34" s="13" t="n">
        <v>1</v>
      </c>
      <c r="E34" s="13" t="n">
        <v>8</v>
      </c>
      <c r="F34" s="13" t="n">
        <v>10</v>
      </c>
      <c r="G34" s="13" t="inlineStr">
        <is>
          <t>L</t>
        </is>
      </c>
    </row>
    <row r="35">
      <c r="A35" s="13" t="n">
        <v>2</v>
      </c>
      <c r="B35" s="13" t="n">
        <v>3</v>
      </c>
      <c r="C35" s="13" t="n">
        <v>6</v>
      </c>
      <c r="D35" s="13" t="n">
        <v>10</v>
      </c>
      <c r="E35" s="13" t="n">
        <v>1</v>
      </c>
      <c r="F35" s="13" t="n">
        <v>4</v>
      </c>
      <c r="G35" s="13" t="inlineStr">
        <is>
          <t>L</t>
        </is>
      </c>
    </row>
    <row r="36">
      <c r="A36" s="13" t="n">
        <v>2</v>
      </c>
      <c r="B36" s="13" t="n">
        <v>3</v>
      </c>
      <c r="C36" s="13" t="n">
        <v>6</v>
      </c>
      <c r="D36" s="13" t="n">
        <v>10</v>
      </c>
      <c r="E36" s="13" t="n">
        <v>5</v>
      </c>
      <c r="F36" s="13" t="n">
        <v>7</v>
      </c>
      <c r="G36" s="13" t="inlineStr">
        <is>
          <t>M</t>
        </is>
      </c>
    </row>
    <row r="37">
      <c r="A37" s="13" t="n">
        <v>2</v>
      </c>
      <c r="B37" s="13" t="n">
        <v>3</v>
      </c>
      <c r="C37" s="13" t="n">
        <v>6</v>
      </c>
      <c r="D37" s="13" t="n">
        <v>10</v>
      </c>
      <c r="E37" s="13" t="n">
        <v>8</v>
      </c>
      <c r="F37" s="13" t="n">
        <v>10</v>
      </c>
      <c r="G37" s="13" t="inlineStr">
        <is>
          <t>M</t>
        </is>
      </c>
    </row>
    <row r="38">
      <c r="A38" s="13" t="n">
        <v>2</v>
      </c>
      <c r="B38" s="13" t="n">
        <v>3</v>
      </c>
      <c r="C38" s="13" t="n">
        <v>4</v>
      </c>
      <c r="D38" s="13" t="n">
        <v>5</v>
      </c>
      <c r="E38" s="13" t="n">
        <v>1</v>
      </c>
      <c r="F38" s="13" t="n">
        <v>4</v>
      </c>
      <c r="G38" s="13" t="inlineStr">
        <is>
          <t>L</t>
        </is>
      </c>
    </row>
    <row r="39">
      <c r="A39" s="13" t="n">
        <v>2</v>
      </c>
      <c r="B39" s="13" t="n">
        <v>3</v>
      </c>
      <c r="C39" s="13" t="n">
        <v>4</v>
      </c>
      <c r="D39" s="13" t="n">
        <v>5</v>
      </c>
      <c r="E39" s="13" t="n">
        <v>5</v>
      </c>
      <c r="F39" s="13" t="n">
        <v>7</v>
      </c>
      <c r="G39" s="13" t="inlineStr">
        <is>
          <t>L</t>
        </is>
      </c>
    </row>
    <row r="40">
      <c r="A40" s="13" t="n">
        <v>2</v>
      </c>
      <c r="B40" s="13" t="n">
        <v>3</v>
      </c>
      <c r="C40" s="13" t="n">
        <v>4</v>
      </c>
      <c r="D40" s="13" t="n">
        <v>5</v>
      </c>
      <c r="E40" s="13" t="n">
        <v>8</v>
      </c>
      <c r="F40" s="13" t="n">
        <v>10</v>
      </c>
      <c r="G40" s="13" t="inlineStr">
        <is>
          <t>M</t>
        </is>
      </c>
    </row>
    <row r="41">
      <c r="A41" s="13" t="n">
        <v>2</v>
      </c>
      <c r="B41" s="13" t="n">
        <v>3</v>
      </c>
      <c r="C41" s="13" t="n">
        <v>2</v>
      </c>
      <c r="D41" s="13" t="n">
        <v>3</v>
      </c>
      <c r="E41" s="13" t="n">
        <v>1</v>
      </c>
      <c r="F41" s="13" t="n">
        <v>4</v>
      </c>
      <c r="G41" s="13" t="inlineStr">
        <is>
          <t>L</t>
        </is>
      </c>
    </row>
    <row r="42">
      <c r="A42" s="13" t="n">
        <v>2</v>
      </c>
      <c r="B42" s="13" t="n">
        <v>3</v>
      </c>
      <c r="C42" s="13" t="n">
        <v>2</v>
      </c>
      <c r="D42" s="13" t="n">
        <v>3</v>
      </c>
      <c r="E42" s="13" t="n">
        <v>5</v>
      </c>
      <c r="F42" s="13" t="n">
        <v>7</v>
      </c>
      <c r="G42" s="13" t="inlineStr">
        <is>
          <t>L</t>
        </is>
      </c>
    </row>
    <row r="43">
      <c r="A43" s="13" t="n">
        <v>2</v>
      </c>
      <c r="B43" s="13" t="n">
        <v>3</v>
      </c>
      <c r="C43" s="13" t="n">
        <v>2</v>
      </c>
      <c r="D43" s="13" t="n">
        <v>3</v>
      </c>
      <c r="E43" s="13" t="n">
        <v>8</v>
      </c>
      <c r="F43" s="13" t="n">
        <v>10</v>
      </c>
      <c r="G43" s="13" t="inlineStr">
        <is>
          <t>L</t>
        </is>
      </c>
    </row>
    <row r="44">
      <c r="A44" s="13" t="n">
        <v>2</v>
      </c>
      <c r="B44" s="13" t="n">
        <v>3</v>
      </c>
      <c r="C44" s="13" t="n">
        <v>1</v>
      </c>
      <c r="D44" s="13" t="n">
        <v>1</v>
      </c>
      <c r="E44" s="13" t="n">
        <v>1</v>
      </c>
      <c r="F44" s="13" t="n">
        <v>10</v>
      </c>
      <c r="G44" s="13" t="inlineStr">
        <is>
          <t>L</t>
        </is>
      </c>
    </row>
    <row r="45">
      <c r="A45" s="13" t="n">
        <v>1</v>
      </c>
      <c r="B45" s="13" t="n">
        <v>1</v>
      </c>
      <c r="C45" s="13" t="n">
        <v>1</v>
      </c>
      <c r="D45" s="13" t="n">
        <v>10</v>
      </c>
      <c r="E45" s="13" t="n">
        <v>1</v>
      </c>
      <c r="F45" s="13" t="n">
        <v>10</v>
      </c>
      <c r="G45" s="1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Product Engineering</dc:creator>
  <dc:title xmlns:dc="http://purl.org/dc/elements/1.1/">Fuel Delivery System DFMEA</dc:title>
  <dcterms:created xmlns:dcterms="http://purl.org/dc/terms/" xmlns:xsi="http://www.w3.org/2001/XMLSchema-instance" xsi:type="dcterms:W3CDTF">2026-07-20T00:57:38Z</dcterms:created>
  <dcterms:modified xmlns:dcterms="http://purl.org/dc/terms/" xmlns:xsi="http://www.w3.org/2001/XMLSchema-instance" xsi:type="dcterms:W3CDTF">2026-07-20T00:57:38Z</dcterms:modified>
  <cp:lastModifiedBy>Product Engineering</cp:lastModifiedBy>
</cp:coreProperties>
</file>