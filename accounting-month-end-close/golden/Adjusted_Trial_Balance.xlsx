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d TB" sheetId="1" state="visible" r:id="rId1"/>
    <sheet xmlns:r="http://schemas.openxmlformats.org/officeDocument/2006/relationships" name="Unadjusted TB" sheetId="2" state="visible" r:id="rId2"/>
    <sheet xmlns:r="http://schemas.openxmlformats.org/officeDocument/2006/relationships" name="Adjusting Entries" sheetId="3" state="visible" r:id="rId3"/>
    <sheet xmlns:r="http://schemas.openxmlformats.org/officeDocument/2006/relationships" name="Bank R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3" fontId="2" fillId="0" borderId="1" pivotButton="0" quotePrefix="0" xfId="0"/>
    <xf numFmtId="3" fontId="1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Adjusted Trial Balance  |  June 30, 2025</t>
        </is>
      </c>
    </row>
    <row r="3">
      <c r="A3" s="2" t="inlineStr">
        <is>
          <t>Account</t>
        </is>
      </c>
      <c r="B3" s="2" t="inlineStr">
        <is>
          <t>Unadjusted (corrected)</t>
        </is>
      </c>
      <c r="C3" s="2" t="inlineStr">
        <is>
          <t>Net adjustment</t>
        </is>
      </c>
      <c r="D3" s="2" t="inlineStr">
        <is>
          <t>Adjusted Debit</t>
        </is>
      </c>
      <c r="E3" s="2" t="inlineStr">
        <is>
          <t>Adjusted Credit</t>
        </is>
      </c>
    </row>
    <row r="4">
      <c r="A4" s="3" t="inlineStr">
        <is>
          <t>1000 Cash</t>
        </is>
      </c>
      <c r="B4" s="4" t="n">
        <v>88100</v>
      </c>
      <c r="C4" s="4" t="n">
        <v>-2300</v>
      </c>
      <c r="D4" s="5">
        <f>IF((B4+C4)&gt;0,(B4+C4),0)</f>
        <v>85800</v>
      </c>
      <c r="E4" s="5">
        <f>IF((B4+C4)&lt;0,-(B4+C4),0)</f>
        <v>0</v>
      </c>
    </row>
    <row r="5">
      <c r="A5" s="3" t="inlineStr">
        <is>
          <t>1100 Accounts Receivable</t>
        </is>
      </c>
      <c r="B5" s="4" t="n">
        <v>145800</v>
      </c>
      <c r="C5" s="4" t="n">
        <v>1900</v>
      </c>
      <c r="D5" s="5">
        <f>IF((B5+C5)&gt;0,(B5+C5),0)</f>
        <v>147700</v>
      </c>
      <c r="E5" s="5">
        <f>IF((B5+C5)&lt;0,-(B5+C5),0)</f>
        <v>0</v>
      </c>
    </row>
    <row r="6">
      <c r="A6" s="3" t="inlineStr">
        <is>
          <t>1200 Prepaid Insurance</t>
        </is>
      </c>
      <c r="B6" s="4" t="n">
        <v>18000</v>
      </c>
      <c r="C6" s="4" t="n">
        <v>-6000</v>
      </c>
      <c r="D6" s="5">
        <f>IF((B6+C6)&gt;0,(B6+C6),0)</f>
        <v>12000</v>
      </c>
      <c r="E6" s="5">
        <f>IF((B6+C6)&lt;0,-(B6+C6),0)</f>
        <v>0</v>
      </c>
    </row>
    <row r="7">
      <c r="A7" s="3" t="inlineStr">
        <is>
          <t>1300 Inventory</t>
        </is>
      </c>
      <c r="B7" s="4" t="n">
        <v>96500</v>
      </c>
      <c r="C7" s="4" t="n">
        <v>0</v>
      </c>
      <c r="D7" s="5">
        <f>IF((B7+C7)&gt;0,(B7+C7),0)</f>
        <v>96500</v>
      </c>
      <c r="E7" s="5">
        <f>IF((B7+C7)&lt;0,-(B7+C7),0)</f>
        <v>0</v>
      </c>
    </row>
    <row r="8">
      <c r="A8" s="3" t="inlineStr">
        <is>
          <t>1500 Equipment</t>
        </is>
      </c>
      <c r="B8" s="4" t="n">
        <v>240000</v>
      </c>
      <c r="C8" s="4" t="n">
        <v>0</v>
      </c>
      <c r="D8" s="5">
        <f>IF((B8+C8)&gt;0,(B8+C8),0)</f>
        <v>240000</v>
      </c>
      <c r="E8" s="5">
        <f>IF((B8+C8)&lt;0,-(B8+C8),0)</f>
        <v>0</v>
      </c>
    </row>
    <row r="9">
      <c r="A9" s="3" t="inlineStr">
        <is>
          <t>1510 Accum Depreciation</t>
        </is>
      </c>
      <c r="B9" s="4" t="n">
        <v>-60000</v>
      </c>
      <c r="C9" s="4" t="n">
        <v>-2000</v>
      </c>
      <c r="D9" s="5">
        <f>IF((B9+C9)&gt;0,(B9+C9),0)</f>
        <v>0</v>
      </c>
      <c r="E9" s="5">
        <f>IF((B9+C9)&lt;0,-(B9+C9),0)</f>
        <v>62000</v>
      </c>
    </row>
    <row r="10">
      <c r="A10" s="3" t="inlineStr">
        <is>
          <t>2000 Accounts Payable</t>
        </is>
      </c>
      <c r="B10" s="4" t="n">
        <v>-73200</v>
      </c>
      <c r="C10" s="4" t="n">
        <v>0</v>
      </c>
      <c r="D10" s="5">
        <f>IF((B10+C10)&gt;0,(B10+C10),0)</f>
        <v>0</v>
      </c>
      <c r="E10" s="5">
        <f>IF((B10+C10)&lt;0,-(B10+C10),0)</f>
        <v>73200</v>
      </c>
    </row>
    <row r="11">
      <c r="A11" s="3" t="inlineStr">
        <is>
          <t>2100 Accrued Liabilities</t>
        </is>
      </c>
      <c r="B11" s="4" t="n">
        <v>0</v>
      </c>
      <c r="C11" s="4" t="n">
        <v>0</v>
      </c>
      <c r="D11" s="5">
        <f>IF((B11+C11)&gt;0,(B11+C11),0)</f>
        <v>0</v>
      </c>
      <c r="E11" s="5">
        <f>IF((B11+C11)&lt;0,-(B11+C11),0)</f>
        <v>0</v>
      </c>
    </row>
    <row r="12">
      <c r="A12" s="3" t="inlineStr">
        <is>
          <t>2200 Wages Payable</t>
        </is>
      </c>
      <c r="B12" s="4" t="n">
        <v>0</v>
      </c>
      <c r="C12" s="4" t="n">
        <v>-7600</v>
      </c>
      <c r="D12" s="5">
        <f>IF((B12+C12)&gt;0,(B12+C12),0)</f>
        <v>0</v>
      </c>
      <c r="E12" s="5">
        <f>IF((B12+C12)&lt;0,-(B12+C12),0)</f>
        <v>7600</v>
      </c>
    </row>
    <row r="13">
      <c r="A13" s="3" t="inlineStr">
        <is>
          <t>2300 Unearned Revenue</t>
        </is>
      </c>
      <c r="B13" s="4" t="n">
        <v>-30000</v>
      </c>
      <c r="C13" s="4" t="n">
        <v>12000</v>
      </c>
      <c r="D13" s="5">
        <f>IF((B13+C13)&gt;0,(B13+C13),0)</f>
        <v>0</v>
      </c>
      <c r="E13" s="5">
        <f>IF((B13+C13)&lt;0,-(B13+C13),0)</f>
        <v>18000</v>
      </c>
    </row>
    <row r="14">
      <c r="A14" s="3" t="inlineStr">
        <is>
          <t>3000 Common Stock</t>
        </is>
      </c>
      <c r="B14" s="4" t="n">
        <v>-150000</v>
      </c>
      <c r="C14" s="4" t="n">
        <v>0</v>
      </c>
      <c r="D14" s="5">
        <f>IF((B14+C14)&gt;0,(B14+C14),0)</f>
        <v>0</v>
      </c>
      <c r="E14" s="5">
        <f>IF((B14+C14)&lt;0,-(B14+C14),0)</f>
        <v>150000</v>
      </c>
    </row>
    <row r="15">
      <c r="A15" s="3" t="inlineStr">
        <is>
          <t>3100 Retained Earnings</t>
        </is>
      </c>
      <c r="B15" s="4" t="n">
        <v>-216200</v>
      </c>
      <c r="C15" s="4" t="n">
        <v>0</v>
      </c>
      <c r="D15" s="5">
        <f>IF((B15+C15)&gt;0,(B15+C15),0)</f>
        <v>0</v>
      </c>
      <c r="E15" s="5">
        <f>IF((B15+C15)&lt;0,-(B15+C15),0)</f>
        <v>216200</v>
      </c>
    </row>
    <row r="16">
      <c r="A16" s="3" t="inlineStr">
        <is>
          <t>4000 Service Revenue</t>
        </is>
      </c>
      <c r="B16" s="4" t="n">
        <v>-395000</v>
      </c>
      <c r="C16" s="4" t="n">
        <v>-12000</v>
      </c>
      <c r="D16" s="5">
        <f>IF((B16+C16)&gt;0,(B16+C16),0)</f>
        <v>0</v>
      </c>
      <c r="E16" s="5">
        <f>IF((B16+C16)&lt;0,-(B16+C16),0)</f>
        <v>407000</v>
      </c>
    </row>
    <row r="17">
      <c r="A17" s="3" t="inlineStr">
        <is>
          <t>5000 Wages Expense</t>
        </is>
      </c>
      <c r="B17" s="4" t="n">
        <v>228000</v>
      </c>
      <c r="C17" s="4" t="n">
        <v>7600</v>
      </c>
      <c r="D17" s="5">
        <f>IF((B17+C17)&gt;0,(B17+C17),0)</f>
        <v>235600</v>
      </c>
      <c r="E17" s="5">
        <f>IF((B17+C17)&lt;0,-(B17+C17),0)</f>
        <v>0</v>
      </c>
    </row>
    <row r="18">
      <c r="A18" s="3" t="inlineStr">
        <is>
          <t>5100 Rent Expense</t>
        </is>
      </c>
      <c r="B18" s="4" t="n">
        <v>66000</v>
      </c>
      <c r="C18" s="4" t="n">
        <v>-6000</v>
      </c>
      <c r="D18" s="5">
        <f>IF((B18+C18)&gt;0,(B18+C18),0)</f>
        <v>60000</v>
      </c>
      <c r="E18" s="5">
        <f>IF((B18+C18)&lt;0,-(B18+C18),0)</f>
        <v>0</v>
      </c>
    </row>
    <row r="19">
      <c r="A19" s="3" t="inlineStr">
        <is>
          <t>5200 Insurance Expense</t>
        </is>
      </c>
      <c r="B19" s="4" t="n">
        <v>0</v>
      </c>
      <c r="C19" s="4" t="n">
        <v>6000</v>
      </c>
      <c r="D19" s="5">
        <f>IF((B19+C19)&gt;0,(B19+C19),0)</f>
        <v>6000</v>
      </c>
      <c r="E19" s="5">
        <f>IF((B19+C19)&lt;0,-(B19+C19),0)</f>
        <v>0</v>
      </c>
    </row>
    <row r="20">
      <c r="A20" s="3" t="inlineStr">
        <is>
          <t>5300 Depreciation Expense</t>
        </is>
      </c>
      <c r="B20" s="4" t="n">
        <v>0</v>
      </c>
      <c r="C20" s="4" t="n">
        <v>2000</v>
      </c>
      <c r="D20" s="5">
        <f>IF((B20+C20)&gt;0,(B20+C20),0)</f>
        <v>2000</v>
      </c>
      <c r="E20" s="5">
        <f>IF((B20+C20)&lt;0,-(B20+C20),0)</f>
        <v>0</v>
      </c>
    </row>
    <row r="21">
      <c r="A21" s="3" t="inlineStr">
        <is>
          <t>5400 Supplies Expense</t>
        </is>
      </c>
      <c r="B21" s="4" t="n">
        <v>42000</v>
      </c>
      <c r="C21" s="4" t="n">
        <v>6000</v>
      </c>
      <c r="D21" s="5">
        <f>IF((B21+C21)&gt;0,(B21+C21),0)</f>
        <v>48000</v>
      </c>
      <c r="E21" s="5">
        <f>IF((B21+C21)&lt;0,-(B21+C21),0)</f>
        <v>0</v>
      </c>
    </row>
    <row r="22">
      <c r="A22" s="3" t="inlineStr">
        <is>
          <t>5500 Bank Charges</t>
        </is>
      </c>
      <c r="B22" s="4" t="n">
        <v>0</v>
      </c>
      <c r="C22" s="4" t="n">
        <v>400</v>
      </c>
      <c r="D22" s="5">
        <f>IF((B22+C22)&gt;0,(B22+C22),0)</f>
        <v>400</v>
      </c>
      <c r="E22" s="5">
        <f>IF((B22+C22)&lt;0,-(B22+C22),0)</f>
        <v>0</v>
      </c>
    </row>
    <row r="23">
      <c r="A23" s="1" t="inlineStr">
        <is>
          <t>Totals</t>
        </is>
      </c>
      <c r="D23" s="6">
        <f>SUM(D4:D22)</f>
        <v>934000</v>
      </c>
      <c r="E23" s="6">
        <f>SUM(E4:E22)</f>
        <v>934000</v>
      </c>
    </row>
    <row r="25">
      <c r="A25" s="1" t="inlineStr">
        <is>
          <t>Debits = Credits?</t>
        </is>
      </c>
      <c r="B25" s="7" t="str">
        <f>IF(D23=E23,"BALANCED","OUT")</f>
        <v>BALANCED</v>
      </c>
    </row>
    <row r="26">
      <c r="A26" s="1" t="inlineStr">
        <is>
          <t>Adjusted net income</t>
        </is>
      </c>
      <c r="B26" s="6">
        <f>(E16)-(D17+D18+D19+D20+D21+D22)</f>
        <v>55000</v>
      </c>
    </row>
  </sheetData>
  <conditionalFormatting sqref="B25">
    <cfRule type="cellIs" priority="1" operator="equal" dxfId="0">
      <formula>"BALANCED"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1" t="inlineStr">
        <is>
          <t>Meridian Technical Services LLC  |  Unadjusted Trial Balance  |  June 30, 2025</t>
        </is>
      </c>
    </row>
    <row r="3">
      <c r="A3" s="2" t="inlineStr">
        <is>
          <t>Account</t>
        </is>
      </c>
      <c r="B3" s="2" t="inlineStr">
        <is>
          <t>Debit</t>
        </is>
      </c>
      <c r="C3" s="2" t="inlineStr">
        <is>
          <t>Credit</t>
        </is>
      </c>
    </row>
    <row r="4">
      <c r="A4" s="3" t="inlineStr">
        <is>
          <t>1000 Cash</t>
        </is>
      </c>
      <c r="B4" s="5" t="n">
        <v>88100</v>
      </c>
      <c r="C4" s="8" t="n"/>
    </row>
    <row r="5">
      <c r="A5" s="3" t="inlineStr">
        <is>
          <t>1100 Accounts Receivable</t>
        </is>
      </c>
      <c r="B5" s="5" t="n">
        <v>148500</v>
      </c>
      <c r="C5" s="8" t="n"/>
    </row>
    <row r="6">
      <c r="A6" s="3" t="inlineStr">
        <is>
          <t>1200 Prepaid Insurance</t>
        </is>
      </c>
      <c r="B6" s="5" t="n">
        <v>18000</v>
      </c>
      <c r="C6" s="8" t="n"/>
    </row>
    <row r="7">
      <c r="A7" s="3" t="inlineStr">
        <is>
          <t>1300 Inventory</t>
        </is>
      </c>
      <c r="B7" s="5" t="n">
        <v>96500</v>
      </c>
      <c r="C7" s="8" t="n"/>
    </row>
    <row r="8">
      <c r="A8" s="3" t="inlineStr">
        <is>
          <t>1500 Equipment</t>
        </is>
      </c>
      <c r="B8" s="5" t="n">
        <v>240000</v>
      </c>
      <c r="C8" s="8" t="n"/>
    </row>
    <row r="9">
      <c r="A9" s="3" t="inlineStr">
        <is>
          <t>1510 Accum Depreciation</t>
        </is>
      </c>
      <c r="B9" s="8" t="n"/>
      <c r="C9" s="5" t="n">
        <v>60000</v>
      </c>
    </row>
    <row r="10">
      <c r="A10" s="3" t="inlineStr">
        <is>
          <t>2000 Accounts Payable</t>
        </is>
      </c>
      <c r="B10" s="8" t="n"/>
      <c r="C10" s="5" t="n">
        <v>73200</v>
      </c>
    </row>
    <row r="11">
      <c r="A11" s="3" t="inlineStr">
        <is>
          <t>2100 Accrued Liabilities</t>
        </is>
      </c>
      <c r="B11" s="8" t="n"/>
      <c r="C11" s="8" t="n"/>
    </row>
    <row r="12">
      <c r="A12" s="3" t="inlineStr">
        <is>
          <t>2200 Wages Payable</t>
        </is>
      </c>
      <c r="B12" s="8" t="n"/>
      <c r="C12" s="8" t="n"/>
    </row>
    <row r="13">
      <c r="A13" s="3" t="inlineStr">
        <is>
          <t>2300 Unearned Revenue</t>
        </is>
      </c>
      <c r="B13" s="8" t="n"/>
      <c r="C13" s="5" t="n">
        <v>30000</v>
      </c>
    </row>
    <row r="14">
      <c r="A14" s="3" t="inlineStr">
        <is>
          <t>3000 Common Stock</t>
        </is>
      </c>
      <c r="B14" s="8" t="n"/>
      <c r="C14" s="5" t="n">
        <v>150000</v>
      </c>
    </row>
    <row r="15">
      <c r="A15" s="3" t="inlineStr">
        <is>
          <t>3100 Retained Earnings</t>
        </is>
      </c>
      <c r="B15" s="8" t="n"/>
      <c r="C15" s="5" t="n">
        <v>216200</v>
      </c>
    </row>
    <row r="16">
      <c r="A16" s="3" t="inlineStr">
        <is>
          <t>4000 Service Revenue</t>
        </is>
      </c>
      <c r="B16" s="8" t="n"/>
      <c r="C16" s="5" t="n">
        <v>395000</v>
      </c>
    </row>
    <row r="17">
      <c r="A17" s="3" t="inlineStr">
        <is>
          <t>5000 Wages Expense</t>
        </is>
      </c>
      <c r="B17" s="5" t="n">
        <v>228000</v>
      </c>
      <c r="C17" s="8" t="n"/>
    </row>
    <row r="18">
      <c r="A18" s="3" t="inlineStr">
        <is>
          <t>5100 Rent Expense</t>
        </is>
      </c>
      <c r="B18" s="5" t="n">
        <v>66000</v>
      </c>
      <c r="C18" s="8" t="n"/>
    </row>
    <row r="19">
      <c r="A19" s="3" t="inlineStr">
        <is>
          <t>5200 Insurance Expense</t>
        </is>
      </c>
      <c r="B19" s="8" t="n"/>
      <c r="C19" s="8" t="n"/>
    </row>
    <row r="20">
      <c r="A20" s="3" t="inlineStr">
        <is>
          <t>5300 Depreciation Expense</t>
        </is>
      </c>
      <c r="B20" s="8" t="n"/>
      <c r="C20" s="8" t="n"/>
    </row>
    <row r="21">
      <c r="A21" s="3" t="inlineStr">
        <is>
          <t>5400 Supplies Expense</t>
        </is>
      </c>
      <c r="B21" s="5" t="n">
        <v>42000</v>
      </c>
      <c r="C21" s="8" t="n"/>
    </row>
    <row r="22">
      <c r="A22" s="3" t="inlineStr">
        <is>
          <t>5500 Bank Charges</t>
        </is>
      </c>
      <c r="B22" s="8" t="n"/>
      <c r="C22" s="8" t="n"/>
    </row>
    <row r="23">
      <c r="A23" s="1" t="inlineStr">
        <is>
          <t>Totals (out of balance)</t>
        </is>
      </c>
      <c r="B23" s="6">
        <f>SUM(B4:B22)</f>
        <v>927100</v>
      </c>
      <c r="C23" s="6">
        <f>SUM(C4:C22)</f>
        <v>924400</v>
      </c>
    </row>
    <row r="25">
      <c r="A25" s="9" t="inlineStr">
        <is>
          <t>Out of balance by 2,700 (AR ledger 148,500 vs aging 145,800; divisible by 9 = transposition).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Adjusting journal entries and the trial-balance correction</t>
        </is>
      </c>
    </row>
    <row r="3">
      <c r="A3" s="9" t="inlineStr">
        <is>
          <t>Step 1 (not a journal entry): restate Accounts Receivable from 148,500 to the aging total 145,800. This is a transcription correction, not a posting.</t>
        </is>
      </c>
    </row>
    <row r="5">
      <c r="A5" s="2" t="inlineStr">
        <is>
          <t>Entry</t>
        </is>
      </c>
      <c r="B5" s="2" t="inlineStr">
        <is>
          <t>Account</t>
        </is>
      </c>
      <c r="C5" s="2" t="inlineStr">
        <is>
          <t>Debit</t>
        </is>
      </c>
      <c r="D5" s="2" t="inlineStr">
        <is>
          <t>Credit</t>
        </is>
      </c>
      <c r="E5" s="2" t="inlineStr">
        <is>
          <t>Balanced?</t>
        </is>
      </c>
    </row>
    <row r="6">
      <c r="A6" s="3" t="inlineStr">
        <is>
          <t>AJE-1 Record expired prepaid insurance</t>
        </is>
      </c>
      <c r="B6" s="3" t="inlineStr">
        <is>
          <t>5200 Insurance Expense</t>
        </is>
      </c>
      <c r="C6" s="5" t="n">
        <v>6000</v>
      </c>
      <c r="D6" s="8" t="n"/>
      <c r="E6" s="10" t="str">
        <f>IF(SUM(C6:C7)=SUM(D6:D7),"OK","ERR")</f>
        <v>OK</v>
      </c>
    </row>
    <row r="7">
      <c r="A7" s="3" t="inlineStr"/>
      <c r="B7" s="3" t="inlineStr">
        <is>
          <t>1200 Prepaid Insurance</t>
        </is>
      </c>
      <c r="C7" s="8" t="n"/>
      <c r="D7" s="5" t="n">
        <v>6000</v>
      </c>
      <c r="E7" s="8" t="n"/>
    </row>
    <row r="8">
      <c r="A8" s="3" t="inlineStr">
        <is>
          <t>AJE-2 Record depreciation</t>
        </is>
      </c>
      <c r="B8" s="3" t="inlineStr">
        <is>
          <t>5300 Depreciation Expense</t>
        </is>
      </c>
      <c r="C8" s="5" t="n">
        <v>2000</v>
      </c>
      <c r="D8" s="8" t="n"/>
      <c r="E8" s="10" t="str">
        <f>IF(SUM(C8:C9)=SUM(D8:D9),"OK","ERR")</f>
        <v>OK</v>
      </c>
    </row>
    <row r="9">
      <c r="A9" s="3" t="inlineStr"/>
      <c r="B9" s="3" t="inlineStr">
        <is>
          <t>1510 Accum Depreciation</t>
        </is>
      </c>
      <c r="C9" s="8" t="n"/>
      <c r="D9" s="5" t="n">
        <v>2000</v>
      </c>
      <c r="E9" s="8" t="n"/>
    </row>
    <row r="10">
      <c r="A10" s="3" t="inlineStr">
        <is>
          <t>AJE-3 Accrue wages earned, unpaid</t>
        </is>
      </c>
      <c r="B10" s="3" t="inlineStr">
        <is>
          <t>5000 Wages Expense</t>
        </is>
      </c>
      <c r="C10" s="5" t="n">
        <v>7600</v>
      </c>
      <c r="D10" s="8" t="n"/>
      <c r="E10" s="10" t="str">
        <f>IF(SUM(C10:C11)=SUM(D10:D11),"OK","ERR")</f>
        <v>OK</v>
      </c>
    </row>
    <row r="11">
      <c r="A11" s="3" t="inlineStr"/>
      <c r="B11" s="3" t="inlineStr">
        <is>
          <t>2200 Wages Payable</t>
        </is>
      </c>
      <c r="C11" s="8" t="n"/>
      <c r="D11" s="5" t="n">
        <v>7600</v>
      </c>
      <c r="E11" s="8" t="n"/>
    </row>
    <row r="12">
      <c r="A12" s="3" t="inlineStr">
        <is>
          <t>AJE-4 Recognize earned unearned revenue</t>
        </is>
      </c>
      <c r="B12" s="3" t="inlineStr">
        <is>
          <t>2300 Unearned Revenue</t>
        </is>
      </c>
      <c r="C12" s="5" t="n">
        <v>12000</v>
      </c>
      <c r="D12" s="8" t="n"/>
      <c r="E12" s="10" t="str">
        <f>IF(SUM(C12:C13)=SUM(D12:D13),"OK","ERR")</f>
        <v>OK</v>
      </c>
    </row>
    <row r="13">
      <c r="A13" s="3" t="inlineStr"/>
      <c r="B13" s="3" t="inlineStr">
        <is>
          <t>4000 Service Revenue</t>
        </is>
      </c>
      <c r="C13" s="8" t="n"/>
      <c r="D13" s="5" t="n">
        <v>12000</v>
      </c>
      <c r="E13" s="8" t="n"/>
    </row>
    <row r="14">
      <c r="A14" s="3" t="inlineStr">
        <is>
          <t>AJE-5 Reclassify misposted rent to supplies</t>
        </is>
      </c>
      <c r="B14" s="3" t="inlineStr">
        <is>
          <t>5400 Supplies Expense</t>
        </is>
      </c>
      <c r="C14" s="5" t="n">
        <v>6000</v>
      </c>
      <c r="D14" s="8" t="n"/>
      <c r="E14" s="10" t="str">
        <f>IF(SUM(C14:C15)=SUM(D14:D15),"OK","ERR")</f>
        <v>OK</v>
      </c>
    </row>
    <row r="15">
      <c r="A15" s="3" t="inlineStr"/>
      <c r="B15" s="3" t="inlineStr">
        <is>
          <t>5100 Rent Expense</t>
        </is>
      </c>
      <c r="C15" s="8" t="n"/>
      <c r="D15" s="5" t="n">
        <v>6000</v>
      </c>
      <c r="E15" s="8" t="n"/>
    </row>
    <row r="16">
      <c r="A16" s="3" t="inlineStr">
        <is>
          <t>AJE-6 Record bank service fee</t>
        </is>
      </c>
      <c r="B16" s="3" t="inlineStr">
        <is>
          <t>5500 Bank Charges</t>
        </is>
      </c>
      <c r="C16" s="5" t="n">
        <v>400</v>
      </c>
      <c r="D16" s="8" t="n"/>
      <c r="E16" s="10" t="str">
        <f>IF(SUM(C16:C17)=SUM(D16:D17),"OK","ERR")</f>
        <v>OK</v>
      </c>
    </row>
    <row r="17">
      <c r="A17" s="3" t="inlineStr"/>
      <c r="B17" s="3" t="inlineStr">
        <is>
          <t>1000 Cash</t>
        </is>
      </c>
      <c r="C17" s="8" t="n"/>
      <c r="D17" s="5" t="n">
        <v>400</v>
      </c>
      <c r="E17" s="8" t="n"/>
    </row>
    <row r="18">
      <c r="A18" s="3" t="inlineStr">
        <is>
          <t>AJE-7 Reinstate AR for NSF check</t>
        </is>
      </c>
      <c r="B18" s="3" t="inlineStr">
        <is>
          <t>1100 Accounts Receivable</t>
        </is>
      </c>
      <c r="C18" s="5" t="n">
        <v>1900</v>
      </c>
      <c r="D18" s="8" t="n"/>
      <c r="E18" s="10" t="str">
        <f>IF(SUM(C18:C19)=SUM(D18:D19),"OK","ERR")</f>
        <v>OK</v>
      </c>
    </row>
    <row r="19">
      <c r="A19" s="3" t="inlineStr"/>
      <c r="B19" s="3" t="inlineStr">
        <is>
          <t>1000 Cash</t>
        </is>
      </c>
      <c r="C19" s="8" t="n"/>
      <c r="D19" s="5" t="n">
        <v>1900</v>
      </c>
      <c r="E19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Bank reconciliation, June 2025</t>
        </is>
      </c>
    </row>
    <row r="3">
      <c r="A3" s="2" t="inlineStr">
        <is>
          <t>Bank side</t>
        </is>
      </c>
      <c r="B3" s="2" t="inlineStr">
        <is>
          <t>Amount</t>
        </is>
      </c>
    </row>
    <row r="4">
      <c r="A4" s="3" t="inlineStr">
        <is>
          <t>Balance per bank</t>
        </is>
      </c>
      <c r="B4" s="4" t="n">
        <v>90100</v>
      </c>
    </row>
    <row r="5">
      <c r="A5" s="3" t="inlineStr">
        <is>
          <t>Add: deposit in transit</t>
        </is>
      </c>
      <c r="B5" s="4" t="n">
        <v>8000</v>
      </c>
    </row>
    <row r="6">
      <c r="A6" s="3" t="inlineStr">
        <is>
          <t>Less: outstanding checks</t>
        </is>
      </c>
      <c r="B6" s="4" t="n">
        <v>-12300</v>
      </c>
    </row>
    <row r="7">
      <c r="A7" s="11" t="inlineStr">
        <is>
          <t>Adjusted bank balance</t>
        </is>
      </c>
      <c r="B7" s="6">
        <f>SUM(B4:B6)</f>
        <v>85800</v>
      </c>
    </row>
    <row r="9">
      <c r="A9" s="2" t="inlineStr">
        <is>
          <t>Book side</t>
        </is>
      </c>
      <c r="B9" s="2" t="inlineStr">
        <is>
          <t>Amount</t>
        </is>
      </c>
    </row>
    <row r="10">
      <c r="A10" s="3" t="inlineStr">
        <is>
          <t>Balance per books (cash)</t>
        </is>
      </c>
      <c r="B10" s="4" t="n">
        <v>88100</v>
      </c>
    </row>
    <row r="11">
      <c r="A11" s="3" t="inlineStr">
        <is>
          <t>Less: bank service fee</t>
        </is>
      </c>
      <c r="B11" s="4" t="n">
        <v>-400</v>
      </c>
    </row>
    <row r="12">
      <c r="A12" s="3" t="inlineStr">
        <is>
          <t>Less: NSF check</t>
        </is>
      </c>
      <c r="B12" s="4" t="n">
        <v>-1900</v>
      </c>
    </row>
    <row r="13">
      <c r="A13" s="11" t="inlineStr">
        <is>
          <t>Adjusted book cash</t>
        </is>
      </c>
      <c r="B13" s="6">
        <f>SUM(B10:B12)</f>
        <v>85800</v>
      </c>
    </row>
    <row r="15">
      <c r="A15" s="1" t="inlineStr">
        <is>
          <t>Reconciles?</t>
        </is>
      </c>
      <c r="B15" s="7" t="str">
        <f>IF(B7=B13,"TIES","DIFF")</f>
        <v>TIES</v>
      </c>
    </row>
  </sheetData>
  <conditionalFormatting sqref="B15">
    <cfRule type="cellIs" priority="1" operator="equal" dxfId="0">
      <formula>"TIES"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Accounting</dc:creator>
  <dcterms:created xmlns:dcterms="http://purl.org/dc/terms/" xmlns:xsi="http://www.w3.org/2001/XMLSchema-instance" xsi:type="dcterms:W3CDTF">2026-07-20T16:53:48Z</dcterms:created>
  <dcterms:modified xmlns:dcterms="http://purl.org/dc/terms/" xmlns:xsi="http://www.w3.org/2001/XMLSchema-instance" xsi:type="dcterms:W3CDTF">2026-07-20T16:53:48Z</dcterms:modified>
</cp:coreProperties>
</file>